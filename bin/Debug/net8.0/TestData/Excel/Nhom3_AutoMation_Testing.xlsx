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SeleniumParaBankTest_clean_refactored\bin\Debug\net8.0\TestData\Excel\"/>
    </mc:Choice>
  </mc:AlternateContent>
  <xr:revisionPtr revIDLastSave="0" documentId="13_ncr:1_{B9828F2A-D56D-4B4C-BD64-159794661570}" xr6:coauthVersionLast="47" xr6:coauthVersionMax="47" xr10:uidLastSave="{00000000-0000-0000-0000-000000000000}"/>
  <bookViews>
    <workbookView xWindow="-110" yWindow="-110" windowWidth="19420" windowHeight="12220" activeTab="3" xr2:uid="{00000000-000D-0000-FFFF-FFFF00000000}"/>
  </bookViews>
  <sheets>
    <sheet name="Summary" sheetId="1" r:id="rId1"/>
    <sheet name="Scenario" sheetId="12" r:id="rId2"/>
    <sheet name="TestCases" sheetId="2" r:id="rId3"/>
    <sheet name="TestExecution" sheetId="3" r:id="rId4"/>
    <sheet name="TestData_Login" sheetId="4" r:id="rId5"/>
    <sheet name="TestData_Register" sheetId="5" r:id="rId6"/>
    <sheet name="TestData_OpenAccount" sheetId="6" r:id="rId7"/>
    <sheet name="TestData_Transfer" sheetId="7" r:id="rId8"/>
    <sheet name="TestData_BillPay" sheetId="8" r:id="rId9"/>
    <sheet name="TestData_FindTransactions" sheetId="9" r:id="rId10"/>
    <sheet name="TestData_UpdateContact" sheetId="10" r:id="rId11"/>
    <sheet name="TestData_RequestLoan" sheetId="11" r:id="rId12"/>
  </sheets>
  <definedNames>
    <definedName name="_xlnm._FilterDatabase" localSheetId="2" hidden="1">TestCases!$A$1:$K$61</definedName>
    <definedName name="_xlnm._FilterDatabase" localSheetId="8" hidden="1">TestData_BillPay!$A$1:$K$6</definedName>
    <definedName name="_xlnm._FilterDatabase" localSheetId="9" hidden="1">TestData_FindTransactions!$A$1:$G$6</definedName>
    <definedName name="_xlnm._FilterDatabase" localSheetId="4" hidden="1">TestData_Login!$A$1:$D$5</definedName>
    <definedName name="_xlnm._FilterDatabase" localSheetId="6" hidden="1">TestData_OpenAccount!$A$1:$D$3</definedName>
    <definedName name="_xlnm._FilterDatabase" localSheetId="5" hidden="1">TestData_Register!$A$1:$M$5</definedName>
    <definedName name="_xlnm._FilterDatabase" localSheetId="11" hidden="1">TestData_RequestLoan!$A$1:$E$4</definedName>
    <definedName name="_xlnm._FilterDatabase" localSheetId="7" hidden="1">TestData_Transfer!$A$1:$E$7</definedName>
    <definedName name="_xlnm._FilterDatabase" localSheetId="10" hidden="1">TestData_UpdateContact!$A$1:$G$4</definedName>
    <definedName name="_xlnm._FilterDatabase" localSheetId="3" hidden="1">TestExecution!$A$1:$K$61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" i="3" l="1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14" i="1"/>
  <c r="E13" i="1"/>
  <c r="B13" i="1"/>
  <c r="E12" i="1"/>
  <c r="B12" i="1"/>
  <c r="E11" i="1"/>
  <c r="B11" i="1"/>
  <c r="E10" i="1"/>
  <c r="B10" i="1"/>
  <c r="E9" i="1"/>
  <c r="B9" i="1"/>
  <c r="E8" i="1"/>
  <c r="B8" i="1"/>
  <c r="E7" i="1"/>
  <c r="B7" i="1"/>
  <c r="E6" i="1"/>
  <c r="B6" i="1"/>
  <c r="B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Sheet dữ liệu đầu vào mà automation cần đọc</t>
        </r>
      </text>
    </comment>
    <comment ref="G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Data Set ID dùng để map sang sheet TestData_* tương ứng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Dùng dropdown Pass, Fail, Blocked, Not Run</t>
        </r>
      </text>
    </comment>
    <comment ref="H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Lưu đường dẫn ảnh chụp lỗi, không nên chèn ảnh trực tiếp vào ô Excel</t>
        </r>
      </text>
    </comment>
  </commentList>
</comments>
</file>

<file path=xl/sharedStrings.xml><?xml version="1.0" encoding="utf-8"?>
<sst xmlns="http://schemas.openxmlformats.org/spreadsheetml/2006/main" count="1757" uniqueCount="742">
  <si>
    <t>TỔNG QUAN TEST PARA_BANK</t>
  </si>
  <si>
    <t>Ghi chú</t>
  </si>
  <si>
    <t>Cập nhật trạng thái ở sheet TestExecution. Summary sẽ tự đếm Pass, Fail, Blocked, Not Run.</t>
  </si>
  <si>
    <t>Chỉ số</t>
  </si>
  <si>
    <t>Giá trị</t>
  </si>
  <si>
    <t>Theo luồng nghiệp vụ</t>
  </si>
  <si>
    <t>Số lượng</t>
  </si>
  <si>
    <t>Tổng số test case</t>
  </si>
  <si>
    <t>1. Truy cập và đăng ký</t>
  </si>
  <si>
    <t>Smoke</t>
  </si>
  <si>
    <t>2. Đăng nhập và đăng xuất</t>
  </si>
  <si>
    <t>GUI</t>
  </si>
  <si>
    <t>3. Tổng quan tài khoản</t>
  </si>
  <si>
    <t>Functional</t>
  </si>
  <si>
    <t>4. Mở tài khoản mới</t>
  </si>
  <si>
    <t>Pass</t>
  </si>
  <si>
    <t>5. Chuyển tiền</t>
  </si>
  <si>
    <t>Fail</t>
  </si>
  <si>
    <t>6. Thanh toán hóa đơn</t>
  </si>
  <si>
    <t>Blocked</t>
  </si>
  <si>
    <t>7. Tìm giao dịch</t>
  </si>
  <si>
    <t>Not Run</t>
  </si>
  <si>
    <t>8. Cập nhật thông tin</t>
  </si>
  <si>
    <t>Tỷ lệ Pass</t>
  </si>
  <si>
    <t>9. Yêu cầu vay vốn</t>
  </si>
  <si>
    <t>Test Case ID</t>
  </si>
  <si>
    <t>Luồng nghiệp vụ</t>
  </si>
  <si>
    <t>Module</t>
  </si>
  <si>
    <t>Tên Test Case</t>
  </si>
  <si>
    <t>Điều kiện tiên quyết</t>
  </si>
  <si>
    <t>Data Sheet</t>
  </si>
  <si>
    <t>Data Set ID</t>
  </si>
  <si>
    <t>Các bước thực hiện</t>
  </si>
  <si>
    <t>Kết quả mong đợi</t>
  </si>
  <si>
    <t>Mức độ ưu tiên</t>
  </si>
  <si>
    <t>Loại</t>
  </si>
  <si>
    <t>TC01</t>
  </si>
  <si>
    <t>Trang chủ / Đăng ký</t>
  </si>
  <si>
    <t>Hiển thị link Register trên trang chủ</t>
  </si>
  <si>
    <t>Người dùng mở trang chủ ParaBank</t>
  </si>
  <si>
    <t>1. Mở trang chủ ParaBank
2. Quan sát khu vực Customer Login</t>
  </si>
  <si>
    <t>Link Register hiển thị rõ ràng và có thể sử dụng</t>
  </si>
  <si>
    <t>Trung bình</t>
  </si>
  <si>
    <t>TC02</t>
  </si>
  <si>
    <t>Đăng ký</t>
  </si>
  <si>
    <t>Mở trang Register thành công</t>
  </si>
  <si>
    <t>Người dùng đang ở trang chủ ParaBank</t>
  </si>
  <si>
    <t>1. Mở trang chủ
2. Nhấn Register</t>
  </si>
  <si>
    <t>Trang Register được mở đúng</t>
  </si>
  <si>
    <t>TC03</t>
  </si>
  <si>
    <t>Hiển thị đầy đủ các trường trên form đăng ký</t>
  </si>
  <si>
    <t>Người dùng đang ở trang Register</t>
  </si>
  <si>
    <t>1. Mở trang Register
2. Kiểm tra các trường First Name, Last Name, Address, City, State, Zip Code, Phone, SSN, Username, Password, Confirm</t>
  </si>
  <si>
    <t>Form đăng ký hiển thị đầy đủ các trường cần thiết</t>
  </si>
  <si>
    <t>TC04</t>
  </si>
  <si>
    <t>Đăng ký tài khoản thành công với dữ liệu hợp lệ</t>
  </si>
  <si>
    <t>Người dùng chưa đăng nhập</t>
  </si>
  <si>
    <t>TestData_Register</t>
  </si>
  <si>
    <t>REG_01</t>
  </si>
  <si>
    <t>1. Mở trang Register
2. Nhập đầy đủ dữ liệu hợp lệ
3. Nhấn Register</t>
  </si>
  <si>
    <t>Tài khoản được tạo thành công, hệ thống chuyển sang trang sau đăng ký hoặc thông báo thành công</t>
  </si>
  <si>
    <t>Cao</t>
  </si>
  <si>
    <t>TC05</t>
  </si>
  <si>
    <t>Đăng ký khi để trống trường bắt buộc</t>
  </si>
  <si>
    <t>REG_02</t>
  </si>
  <si>
    <t>1. Mở trang Register
2. Để trống các trường bắt buộc
3. Nhấn Register</t>
  </si>
  <si>
    <t>Hệ thống hiển thị lỗi xác thực cho các trường bắt buộc</t>
  </si>
  <si>
    <t>TC06</t>
  </si>
  <si>
    <t>Đăng ký khi Password và Confirm không khớp</t>
  </si>
  <si>
    <t>REG_03</t>
  </si>
  <si>
    <t>1. Mở trang Register
2. Nhập thông tin hợp lệ
3. Nhập Password và Confirm khác nhau
4. Nhấn Register</t>
  </si>
  <si>
    <t>Hệ thống từ chối đăng ký và hiển thị lỗi không khớp mật khẩu</t>
  </si>
  <si>
    <t>TC07</t>
  </si>
  <si>
    <t>Đăng ký với Username đã tồn tại</t>
  </si>
  <si>
    <t>Username kiểm thử đã tồn tại trên hệ thống</t>
  </si>
  <si>
    <t>REG_04</t>
  </si>
  <si>
    <t>1. Mở trang Register
2. Nhập dữ liệu hợp lệ nhưng dùng Username đã tồn tại
3. Nhấn Register</t>
  </si>
  <si>
    <t>Hệ thống từ chối tạo tài khoản và hiển thị lỗi Username đã tồn tại</t>
  </si>
  <si>
    <t>TC08</t>
  </si>
  <si>
    <t>Đăng nhập</t>
  </si>
  <si>
    <t>Hiển thị ô Username, Password và nút Login</t>
  </si>
  <si>
    <t>1. Mở trang chủ ParaBank
2. Kiểm tra khu vực Customer Login</t>
  </si>
  <si>
    <t>Ô Username, Password và nút Login hiển thị đúng</t>
  </si>
  <si>
    <t>TC09</t>
  </si>
  <si>
    <t>Nhập được dữ liệu vào ô Username và Password</t>
  </si>
  <si>
    <t>TestData_Login</t>
  </si>
  <si>
    <t>LOGIN_01</t>
  </si>
  <si>
    <t>1. Mở trang chủ
2. Nhập Username
3. Nhập Password</t>
  </si>
  <si>
    <t>Hai ô nhập nhận dữ liệu bình thường</t>
  </si>
  <si>
    <t>TC10</t>
  </si>
  <si>
    <t>Đăng nhập thành công với tài khoản hợp lệ</t>
  </si>
  <si>
    <t>Người dùng đã có tài khoản hợp lệ</t>
  </si>
  <si>
    <t>1. Mở trang chủ
2. Nhập Username hợp lệ
3. Nhập Password hợp lệ
4. Nhấn Login</t>
  </si>
  <si>
    <t>Đăng nhập thành công và chuyển đến trang Accounts Overview</t>
  </si>
  <si>
    <t>TC11</t>
  </si>
  <si>
    <t>Đăng nhập với Username sai</t>
  </si>
  <si>
    <t>LOGIN_02</t>
  </si>
  <si>
    <t>1. Mở trang chủ
2. Nhập Username sai
3. Nhập Password
4. Nhấn Login</t>
  </si>
  <si>
    <t>Hệ thống từ chối đăng nhập và hiển thị lỗi phù hợp</t>
  </si>
  <si>
    <t>TC12</t>
  </si>
  <si>
    <t>Đăng nhập với Password sai</t>
  </si>
  <si>
    <t>LOGIN_03</t>
  </si>
  <si>
    <t>1. Mở trang chủ
2. Nhập Username đúng
3. Nhập Password sai
4. Nhấn Login</t>
  </si>
  <si>
    <t>TC13</t>
  </si>
  <si>
    <t>Đăng nhập khi để trống Username và Password</t>
  </si>
  <si>
    <t>LOGIN_04</t>
  </si>
  <si>
    <t>1. Mở trang chủ
2. Để trống Username và Password
3. Nhấn Login</t>
  </si>
  <si>
    <t>Hệ thống không cho đăng nhập, hiển thị lỗi phù hợp</t>
  </si>
  <si>
    <t>TC14</t>
  </si>
  <si>
    <t>Đăng xuất</t>
  </si>
  <si>
    <t>Đăng xuất thành công</t>
  </si>
  <si>
    <t>Người dùng đã đăng nhập</t>
  </si>
  <si>
    <t>1. Đăng nhập thành công
2. Nhấn Log Out</t>
  </si>
  <si>
    <t>Người dùng bị đăng xuất và quay về trang chủ hoặc trang login</t>
  </si>
  <si>
    <t>TC15</t>
  </si>
  <si>
    <t>Bảo mật sau đăng xuất</t>
  </si>
  <si>
    <t>Không truy cập được trang nội bộ sau khi đăng xuất</t>
  </si>
  <si>
    <t>Người dùng vừa đăng xuất</t>
  </si>
  <si>
    <t>1. Đăng nhập
2. Đăng xuất
3. Nhập trực tiếp URL trang nội bộ như Accounts Overview</t>
  </si>
  <si>
    <t>Hệ thống yêu cầu đăng nhập lại hoặc chặn truy cập</t>
  </si>
  <si>
    <t>TC16</t>
  </si>
  <si>
    <t>Tổng quan tài khoản</t>
  </si>
  <si>
    <t>Hiển thị menu Account Services sau khi đăng nhập</t>
  </si>
  <si>
    <t>1. Đăng nhập thành công
2. Quan sát menu bên trái</t>
  </si>
  <si>
    <t>Menu Account Services hiển thị các mục liên quan tài khoản</t>
  </si>
  <si>
    <t>TC17</t>
  </si>
  <si>
    <t>Mở trang Accounts Overview thành công</t>
  </si>
  <si>
    <t>1. Đăng nhập
2. Nhấn Accounts Overview</t>
  </si>
  <si>
    <t>Trang Accounts Overview được mở thành công</t>
  </si>
  <si>
    <t>TC18</t>
  </si>
  <si>
    <t>Hiển thị danh sách tài khoản, số dư, số dư khả dụng</t>
  </si>
  <si>
    <t>Người dùng đã đăng nhập và có ít nhất 1 tài khoản</t>
  </si>
  <si>
    <t>1. Đăng nhập
2. Mở Accounts Overview
3. Quan sát bảng tài khoản</t>
  </si>
  <si>
    <t>Danh sách tài khoản, Balance, Available Amount hiển thị đúng định dạng</t>
  </si>
  <si>
    <t>TC19</t>
  </si>
  <si>
    <t>Mở trang chi tiết tài khoản khi nhấn vào số tài khoản</t>
  </si>
  <si>
    <t>Người dùng đang ở Accounts Overview</t>
  </si>
  <si>
    <t>1. Đăng nhập
2. Mở Accounts Overview
3. Nhấn vào một account number</t>
  </si>
  <si>
    <t>Trang chi tiết tài khoản tương ứng được mở</t>
  </si>
  <si>
    <t>TC20</t>
  </si>
  <si>
    <t>Hiển thị lịch sử giao dịch trong trang chi tiết tài khoản</t>
  </si>
  <si>
    <t>Người dùng có ít nhất 1 tài khoản đã phát sinh giao dịch</t>
  </si>
  <si>
    <t>1. Đăng nhập
2. Mở Accounts Overview
3. Nhấn vào tài khoản có giao dịch</t>
  </si>
  <si>
    <t>Lịch sử giao dịch của tài khoản được hiển thị</t>
  </si>
  <si>
    <t>TC21</t>
  </si>
  <si>
    <t>Hiển thị các cột ngày, loại giao dịch, số tiền trong transaction list</t>
  </si>
  <si>
    <t>Người dùng đang ở trang chi tiết tài khoản</t>
  </si>
  <si>
    <t>1. Mở chi tiết tài khoản
2. Kiểm tra bảng transaction</t>
  </si>
  <si>
    <t>Bảng giao dịch hiển thị đủ cột cần thiết</t>
  </si>
  <si>
    <t>TC22</t>
  </si>
  <si>
    <t>Mở tài khoản mới</t>
  </si>
  <si>
    <t>Mở trang Open New Account thành công</t>
  </si>
  <si>
    <t>1. Đăng nhập
2. Nhấn Open New Account</t>
  </si>
  <si>
    <t>Trang Open New Account được mở thành công</t>
  </si>
  <si>
    <t>TC23</t>
  </si>
  <si>
    <t>Tạo mới tài khoản Checking thành công</t>
  </si>
  <si>
    <t>Người dùng đã đăng nhập và có tài khoản nguồn</t>
  </si>
  <si>
    <t>TestData_OpenAccount</t>
  </si>
  <si>
    <t>OPEN_01</t>
  </si>
  <si>
    <t>1. Đăng nhập
2. Mở Open New Account
3. Chọn Checking
4. Chọn From Account
5. Nhấn Open New Account</t>
  </si>
  <si>
    <t>Hệ thống tạo tài khoản Checking mới thành công</t>
  </si>
  <si>
    <t>TC24</t>
  </si>
  <si>
    <t>Tạo mới tài khoản Savings thành công</t>
  </si>
  <si>
    <t>OPEN_02</t>
  </si>
  <si>
    <t>1. Đăng nhập
2. Mở Open New Account
3. Chọn Savings
4. Chọn From Account
5. Nhấn Open New Account</t>
  </si>
  <si>
    <t>Hệ thống tạo tài khoản Savings mới thành công</t>
  </si>
  <si>
    <t>TC25</t>
  </si>
  <si>
    <t>Tài khoản mới xuất hiện trong Accounts Overview</t>
  </si>
  <si>
    <t>Người dùng vừa tạo tài khoản mới thành công</t>
  </si>
  <si>
    <t>1. Tạo tài khoản mới
2. Mở Accounts Overview</t>
  </si>
  <si>
    <t>Tài khoản vừa tạo xuất hiện trong danh sách tài khoản</t>
  </si>
  <si>
    <t>TC26</t>
  </si>
  <si>
    <t>Mở được chi tiết của tài khoản vừa tạo</t>
  </si>
  <si>
    <t>1. Tạo tài khoản mới
2. Mở Accounts Overview
3. Nhấn vào tài khoản vừa tạo</t>
  </si>
  <si>
    <t>Trang chi tiết của tài khoản mới được mở đúng</t>
  </si>
  <si>
    <t>TC27</t>
  </si>
  <si>
    <t>Chuyển tiền</t>
  </si>
  <si>
    <t>Mở trang Transfer Funds thành công</t>
  </si>
  <si>
    <t>Người dùng đã đăng nhập và có ít nhất 2 tài khoản</t>
  </si>
  <si>
    <t>1. Đăng nhập
2. Nhấn Transfer Funds</t>
  </si>
  <si>
    <t>Trang Transfer Funds được mở thành công</t>
  </si>
  <si>
    <t>TC28</t>
  </si>
  <si>
    <t>Hiển thị đầy đủ form chuyển tiền</t>
  </si>
  <si>
    <t>Người dùng đang ở Transfer Funds</t>
  </si>
  <si>
    <t>1. Mở Transfer Funds
2. Kiểm tra Amount, From Account, To Account, nút Transfer</t>
  </si>
  <si>
    <t>Form chuyển tiền hiển thị đầy đủ và thao tác được</t>
  </si>
  <si>
    <t>TC29</t>
  </si>
  <si>
    <t>Chuyển tiền thành công từ tài khoản A sang tài khoản B</t>
  </si>
  <si>
    <t>Người dùng có ít nhất 2 tài khoản</t>
  </si>
  <si>
    <t>TestData_Transfer</t>
  </si>
  <si>
    <t>TRF_01</t>
  </si>
  <si>
    <t>1. Đăng nhập
2. Mở Transfer Funds
3. Chọn From Account=A
4. Chọn To Account=B
5. Nhập 100
6. Nhấn Transfer</t>
  </si>
  <si>
    <t>Giao dịch chuyển tiền thành công và hiển thị xác nhận</t>
  </si>
  <si>
    <t>TC30</t>
  </si>
  <si>
    <t>Chuyển tiền thành công theo chiều ngược lại từ B sang A</t>
  </si>
  <si>
    <t>TRF_02</t>
  </si>
  <si>
    <t>1. Mở Transfer Funds
2. Chọn From Account=B
3. Chọn To Account=A
4. Nhập 50
5. Nhấn Transfer</t>
  </si>
  <si>
    <t>Giao dịch chuyển tiền thành công</t>
  </si>
  <si>
    <t>TC31</t>
  </si>
  <si>
    <t>Chuyển tiền khi để trống Amount</t>
  </si>
  <si>
    <t>TRF_03</t>
  </si>
  <si>
    <t>1. Mở Transfer Funds
2. Chọn From Account
3. Chọn To Account
4. Để trống Amount
5. Nhấn Transfer</t>
  </si>
  <si>
    <t>Hệ thống từ chối giao dịch hoặc hiển thị lỗi phù hợp</t>
  </si>
  <si>
    <t>TC32</t>
  </si>
  <si>
    <t>Chuyển tiền với Amount sai định dạng</t>
  </si>
  <si>
    <t>TRF_04</t>
  </si>
  <si>
    <t>1. Mở Transfer Funds
2. Chọn tài khoản nguồn, đích
3. Nhập Amount là chữ
4. Nhấn Transfer</t>
  </si>
  <si>
    <t>TC33</t>
  </si>
  <si>
    <t>Chuyển tiền với Amount bằng 0 hoặc âm</t>
  </si>
  <si>
    <t>TRF_05</t>
  </si>
  <si>
    <t>1. Mở Transfer Funds
2. Chọn tài khoản nguồn, đích
3. Nhập 0 hoặc số âm
4. Nhấn Transfer</t>
  </si>
  <si>
    <t>TC34</t>
  </si>
  <si>
    <t>Chọn cùng một tài khoản cho nguồn và đích</t>
  </si>
  <si>
    <t>TRF_06</t>
  </si>
  <si>
    <t>1. Mở Transfer Funds
2. Chọn cùng một tài khoản cho From và To
3. Nhập Amount
4. Nhấn Transfer</t>
  </si>
  <si>
    <t>Hệ thống chặn giao dịch hoặc thông báo không hợp lệ</t>
  </si>
  <si>
    <t>TC35</t>
  </si>
  <si>
    <t>Hiển thị thông tin xác nhận sau khi chuyển tiền thành công</t>
  </si>
  <si>
    <t>Người dùng vừa chuyển tiền thành công</t>
  </si>
  <si>
    <t>1. Thực hiện giao dịch chuyển tiền thành công
2. Quan sát trang kết quả</t>
  </si>
  <si>
    <t>Trang kết quả hiển thị thông tin xác nhận giao dịch</t>
  </si>
  <si>
    <t>TC36</t>
  </si>
  <si>
    <t>Cập nhật số dư sau khi chuyển tiền thành công</t>
  </si>
  <si>
    <t>1. Chuyển tiền thành công
2. Mở Accounts Overview</t>
  </si>
  <si>
    <t>Số dư các tài khoản được cập nhật tương ứng</t>
  </si>
  <si>
    <t>TC37</t>
  </si>
  <si>
    <t>Thanh toán hóa đơn</t>
  </si>
  <si>
    <t>Mở trang Bill Pay thành công</t>
  </si>
  <si>
    <t>1. Đăng nhập
2. Nhấn Bill Pay</t>
  </si>
  <si>
    <t>Trang Bill Pay được mở thành công</t>
  </si>
  <si>
    <t>TC38</t>
  </si>
  <si>
    <t>Hiển thị đầy đủ các trường trên form Bill Pay</t>
  </si>
  <si>
    <t>Người dùng đang ở Bill Pay</t>
  </si>
  <si>
    <t>1. Mở Bill Pay
2. Kiểm tra Payee Name, Address, City, State, Zip Code, Phone, Account, Verify Account, Amount</t>
  </si>
  <si>
    <t>Form Bill Pay hiển thị đầy đủ các trường cần thiết</t>
  </si>
  <si>
    <t>TC39</t>
  </si>
  <si>
    <t>Thanh toán hóa đơn thành công với dữ liệu hợp lệ</t>
  </si>
  <si>
    <t>TestData_BillPay</t>
  </si>
  <si>
    <t>BILL_01</t>
  </si>
  <si>
    <t>1. Đăng nhập
2. Mở Bill Pay
3. Nhập đầy đủ dữ liệu hợp lệ
4. Nhấn Send Payment</t>
  </si>
  <si>
    <t>Hệ thống xử lý thanh toán hóa đơn thành công</t>
  </si>
  <si>
    <t>TC40</t>
  </si>
  <si>
    <t>Thanh toán hóa đơn khi để trống trường bắt buộc</t>
  </si>
  <si>
    <t>BILL_02</t>
  </si>
  <si>
    <t>1. Mở Bill Pay
2. Nhập thiếu trường bắt buộc
3. Nhấn Send Payment</t>
  </si>
  <si>
    <t>Hệ thống hiển thị lỗi xác thực và không xử lý thanh toán</t>
  </si>
  <si>
    <t>TC41</t>
  </si>
  <si>
    <t>Account và Verify Account không khớp</t>
  </si>
  <si>
    <t>BILL_03</t>
  </si>
  <si>
    <t>1. Mở Bill Pay
2. Nhập dữ liệu hợp lệ
3. Nhập Account và Verify Account khác nhau
4. Nhấn Send Payment</t>
  </si>
  <si>
    <t>Hệ thống từ chối thanh toán và hiển thị lỗi không khớp</t>
  </si>
  <si>
    <t>TC42</t>
  </si>
  <si>
    <t>Số tiền thanh toán sai định dạng</t>
  </si>
  <si>
    <t>BILL_04</t>
  </si>
  <si>
    <t>1. Mở Bill Pay
2. Nhập dữ liệu hợp lệ
3. Nhập Amount là chữ
4. Nhấn Send Payment</t>
  </si>
  <si>
    <t>Hệ thống từ chối thanh toán hoặc hiển thị lỗi phù hợp</t>
  </si>
  <si>
    <t>TC43</t>
  </si>
  <si>
    <t>Số tiền thanh toán bằng 0 hoặc âm</t>
  </si>
  <si>
    <t>BILL_05</t>
  </si>
  <si>
    <t>1. Mở Bill Pay
2. Nhập dữ liệu hợp lệ
3. Nhập Amount=0 hoặc âm
4. Nhấn Send Payment</t>
  </si>
  <si>
    <t>TC44</t>
  </si>
  <si>
    <t>Hiển thị thông báo xác nhận sau khi thanh toán thành công</t>
  </si>
  <si>
    <t>Người dùng vừa thanh toán hóa đơn thành công</t>
  </si>
  <si>
    <t>1. Thực hiện thanh toán thành công
2. Quan sát trang kết quả</t>
  </si>
  <si>
    <t>Hệ thống hiển thị thông báo xác nhận rõ ràng</t>
  </si>
  <si>
    <t>TC45</t>
  </si>
  <si>
    <t>Tìm giao dịch</t>
  </si>
  <si>
    <t>Mở trang Find Transactions thành công</t>
  </si>
  <si>
    <t>1. Đăng nhập
2. Nhấn Find Transactions</t>
  </si>
  <si>
    <t>Trang Find Transactions được mở thành công</t>
  </si>
  <si>
    <t>TC46</t>
  </si>
  <si>
    <t>Hiển thị các tùy chọn tìm theo ngày, khoảng ngày, số tiền</t>
  </si>
  <si>
    <t>Người dùng đang ở Find Transactions</t>
  </si>
  <si>
    <t>1. Mở Find Transactions
2. Kiểm tra các khu vực tìm kiếm</t>
  </si>
  <si>
    <t>Trang hiển thị đủ các lựa chọn tìm kiếm giao dịch</t>
  </si>
  <si>
    <t>TC47</t>
  </si>
  <si>
    <t>Tìm giao dịch theo ngày cụ thể</t>
  </si>
  <si>
    <t>Người dùng có giao dịch trong ngày cần tìm</t>
  </si>
  <si>
    <t>TestData_FindTransactions</t>
  </si>
  <si>
    <t>FIND_01</t>
  </si>
  <si>
    <t>1. Mở Find Transactions
2. Chọn account
3. Nhập ngày
4. Nhấn Find Transactions</t>
  </si>
  <si>
    <t>Hệ thống trả về các giao dịch đúng ngày yêu cầu</t>
  </si>
  <si>
    <t>TC48</t>
  </si>
  <si>
    <t>Tìm giao dịch theo khoảng ngày</t>
  </si>
  <si>
    <t>Người dùng có giao dịch trong khoảng ngày cần tìm</t>
  </si>
  <si>
    <t>FIND_02</t>
  </si>
  <si>
    <t>1. Mở Find Transactions
2. Chọn account
3. Nhập From Date và To Date
4. Nhấn Find Transactions</t>
  </si>
  <si>
    <t>Hệ thống trả về các giao dịch nằm trong khoảng ngày</t>
  </si>
  <si>
    <t>TC49</t>
  </si>
  <si>
    <t>Tìm giao dịch theo số tiền</t>
  </si>
  <si>
    <t>Người dùng có giao dịch với số tiền cần tìm</t>
  </si>
  <si>
    <t>FIND_03</t>
  </si>
  <si>
    <t>1. Mở Find Transactions
2. Chọn account
3. Nhập Amount
4. Nhấn Find Transactions</t>
  </si>
  <si>
    <t>Hệ thống trả về các giao dịch khớp số tiền</t>
  </si>
  <si>
    <t>TC50</t>
  </si>
  <si>
    <t>Tìm giao dịch khi không có kết quả</t>
  </si>
  <si>
    <t>FIND_04</t>
  </si>
  <si>
    <t>1. Mở Find Transactions
2. Nhập điều kiện không có dữ liệu
3. Nhấn Find Transactions</t>
  </si>
  <si>
    <t>Hệ thống hiển thị trạng thái không tìm thấy giao dịch</t>
  </si>
  <si>
    <t>TC51</t>
  </si>
  <si>
    <t>Nhập khoảng ngày không hợp lệ</t>
  </si>
  <si>
    <t>FIND_05</t>
  </si>
  <si>
    <t>1. Mở Find Transactions
2. Nhập From Date lớn hơn To Date
3. Nhấn Find Transactions</t>
  </si>
  <si>
    <t>Hệ thống hiển thị lỗi hoặc không cho tìm kiếm</t>
  </si>
  <si>
    <t>TC52</t>
  </si>
  <si>
    <t>Update Contact Info</t>
  </si>
  <si>
    <t>Mở trang Update Contact Info thành công</t>
  </si>
  <si>
    <t>1. Đăng nhập
2. Nhấn Update Contact Info</t>
  </si>
  <si>
    <t>Trang Update Contact Info được mở thành công</t>
  </si>
  <si>
    <t>TC53</t>
  </si>
  <si>
    <t>Hiển thị sẵn thông tin hiện tại trên form cập nhật</t>
  </si>
  <si>
    <t>Người dùng đang ở Update Contact Info</t>
  </si>
  <si>
    <t>1. Mở Update Contact Info
2. Quan sát các ô nhập</t>
  </si>
  <si>
    <t>Các trường hiển thị dữ liệu hiện tại của người dùng</t>
  </si>
  <si>
    <t>TC54</t>
  </si>
  <si>
    <t>Cập nhật thông tin liên hệ thành công với dữ liệu hợp lệ</t>
  </si>
  <si>
    <t>TestData_UpdateContact</t>
  </si>
  <si>
    <t>UPD_01</t>
  </si>
  <si>
    <t>1. Mở Update Contact Info
2. Sửa dữ liệu hợp lệ
3. Nhấn Update Profile</t>
  </si>
  <si>
    <t>Thông tin liên hệ được cập nhật thành công</t>
  </si>
  <si>
    <t>TC55</t>
  </si>
  <si>
    <t>Cập nhật khi để trống trường bắt buộc</t>
  </si>
  <si>
    <t>UPD_02</t>
  </si>
  <si>
    <t>1. Mở Update Contact Info
2. Xóa dữ liệu ở trường bắt buộc
3. Nhấn Update Profile</t>
  </si>
  <si>
    <t>Hệ thống từ chối lưu hoặc hiển thị lỗi phù hợp</t>
  </si>
  <si>
    <t>TC56</t>
  </si>
  <si>
    <t>Thông tin mới vẫn được lưu sau khi tải lại trang</t>
  </si>
  <si>
    <t>Người dùng vừa cập nhật thành công</t>
  </si>
  <si>
    <t>UPD_03</t>
  </si>
  <si>
    <t>1. Cập nhật thông tin thành công
2. Tải lại trang hoặc đăng nhập lại</t>
  </si>
  <si>
    <t>Dữ liệu cập nhật vẫn được lưu đúng</t>
  </si>
  <si>
    <t>TC57</t>
  </si>
  <si>
    <t>Yêu cầu vay vốn</t>
  </si>
  <si>
    <t>Mở trang Request Loan thành công</t>
  </si>
  <si>
    <t>1. Đăng nhập
2. Nhấn Request Loan</t>
  </si>
  <si>
    <t>Trang Request Loan được mở thành công</t>
  </si>
  <si>
    <t>TC58</t>
  </si>
  <si>
    <t>Gửi yêu cầu vay thành công với dữ liệu hợp lệ</t>
  </si>
  <si>
    <t>Người dùng đã đăng nhập và có tài khoản phù hợp</t>
  </si>
  <si>
    <t>TestData_RequestLoan</t>
  </si>
  <si>
    <t>LOAN_01</t>
  </si>
  <si>
    <t>1. Mở Request Loan
2. Nhập Loan Amount
3. Nhập Down Payment
4. Chọn From Account
5. Nhấn Apply Now</t>
  </si>
  <si>
    <t>Hệ thống xử lý yêu cầu vay và trả về kết quả</t>
  </si>
  <si>
    <t>TC59</t>
  </si>
  <si>
    <t>Gửi yêu cầu vay khi để trống trường bắt buộc</t>
  </si>
  <si>
    <t>Người dùng đang ở Request Loan</t>
  </si>
  <si>
    <t>LOAN_02</t>
  </si>
  <si>
    <t>1. Mở Request Loan
2. Để trống trường bắt buộc
3. Nhấn Apply Now</t>
  </si>
  <si>
    <t>Hệ thống từ chối gửi yêu cầu hoặc hiển thị lỗi phù hợp</t>
  </si>
  <si>
    <t>TC60</t>
  </si>
  <si>
    <t>Gửi yêu cầu vay với dữ liệu sai định dạng hoặc giá trị âm</t>
  </si>
  <si>
    <t>LOAN_03</t>
  </si>
  <si>
    <t>1. Mở Request Loan
2. Nhập giá trị sai định dạng hoặc âm
3. Nhấn Apply Now</t>
  </si>
  <si>
    <t>Hệ thống từ chối xử lý hoặc hiển thị lỗi phù hợp</t>
  </si>
  <si>
    <t>Run ID</t>
  </si>
  <si>
    <t>Trạng thái</t>
  </si>
  <si>
    <t>Kết quả thực tế</t>
  </si>
  <si>
    <t>Screenshot Path</t>
  </si>
  <si>
    <t>Bug ID</t>
  </si>
  <si>
    <t>Trình duyệt</t>
  </si>
  <si>
    <t>RUN_001</t>
  </si>
  <si>
    <t/>
  </si>
  <si>
    <t>Chrome</t>
  </si>
  <si>
    <t>RUN_002</t>
  </si>
  <si>
    <t>RUN_003</t>
  </si>
  <si>
    <t>RUN_004</t>
  </si>
  <si>
    <t>RUN_005</t>
  </si>
  <si>
    <t>RUN_006</t>
  </si>
  <si>
    <t>RUN_007</t>
  </si>
  <si>
    <t>RUN_008</t>
  </si>
  <si>
    <t>RUN_009</t>
  </si>
  <si>
    <t>RUN_010</t>
  </si>
  <si>
    <t>RUN_011</t>
  </si>
  <si>
    <t>RUN_012</t>
  </si>
  <si>
    <t>RUN_013</t>
  </si>
  <si>
    <t>RUN_014</t>
  </si>
  <si>
    <t>RUN_015</t>
  </si>
  <si>
    <t>RUN_016</t>
  </si>
  <si>
    <t>RUN_017</t>
  </si>
  <si>
    <t>RUN_018</t>
  </si>
  <si>
    <t>RUN_019</t>
  </si>
  <si>
    <t>RUN_020</t>
  </si>
  <si>
    <t>RUN_021</t>
  </si>
  <si>
    <t>RUN_022</t>
  </si>
  <si>
    <t>RUN_023</t>
  </si>
  <si>
    <t>RUN_024</t>
  </si>
  <si>
    <t>RUN_025</t>
  </si>
  <si>
    <t>RUN_026</t>
  </si>
  <si>
    <t>RUN_027</t>
  </si>
  <si>
    <t>RUN_028</t>
  </si>
  <si>
    <t>RUN_029</t>
  </si>
  <si>
    <t>RUN_030</t>
  </si>
  <si>
    <t>RUN_031</t>
  </si>
  <si>
    <t>RUN_032</t>
  </si>
  <si>
    <t>RUN_033</t>
  </si>
  <si>
    <t>RUN_034</t>
  </si>
  <si>
    <t>RUN_035</t>
  </si>
  <si>
    <t>RUN_036</t>
  </si>
  <si>
    <t>RUN_037</t>
  </si>
  <si>
    <t>RUN_038</t>
  </si>
  <si>
    <t>RUN_039</t>
  </si>
  <si>
    <t>RUN_040</t>
  </si>
  <si>
    <t>RUN_041</t>
  </si>
  <si>
    <t>RUN_042</t>
  </si>
  <si>
    <t>RUN_043</t>
  </si>
  <si>
    <t>RUN_044</t>
  </si>
  <si>
    <t>RUN_045</t>
  </si>
  <si>
    <t>RUN_046</t>
  </si>
  <si>
    <t>RUN_047</t>
  </si>
  <si>
    <t>RUN_048</t>
  </si>
  <si>
    <t>RUN_049</t>
  </si>
  <si>
    <t>RUN_050</t>
  </si>
  <si>
    <t>RUN_051</t>
  </si>
  <si>
    <t>RUN_052</t>
  </si>
  <si>
    <t>RUN_053</t>
  </si>
  <si>
    <t>RUN_054</t>
  </si>
  <si>
    <t>RUN_055</t>
  </si>
  <si>
    <t>RUN_056</t>
  </si>
  <si>
    <t>RUN_057</t>
  </si>
  <si>
    <t>RUN_058</t>
  </si>
  <si>
    <t>RUN_059</t>
  </si>
  <si>
    <t>RUN_060</t>
  </si>
  <si>
    <t>Username</t>
  </si>
  <si>
    <t>Password</t>
  </si>
  <si>
    <t>Kỳ vọng</t>
  </si>
  <si>
    <t>user_hople_01</t>
  </si>
  <si>
    <t>123456</t>
  </si>
  <si>
    <t>sai_user</t>
  </si>
  <si>
    <t>sai_pass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</si>
  <si>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</si>
  <si>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</si>
  <si>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</si>
  <si>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</si>
  <si>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</si>
  <si>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</si>
  <si>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</si>
  <si>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</si>
  <si>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ConfirmPassword</t>
  </si>
  <si>
    <t>An</t>
  </si>
  <si>
    <t>Nguyen</t>
  </si>
  <si>
    <t>123 Le Loi</t>
  </si>
  <si>
    <t>HCM</t>
  </si>
  <si>
    <t>700000</t>
  </si>
  <si>
    <t>0901234567</t>
  </si>
  <si>
    <t>user_moi_01</t>
  </si>
  <si>
    <t>user_moi_02</t>
  </si>
  <si>
    <t>654321</t>
  </si>
  <si>
    <t>user_da_ton_tai</t>
  </si>
  <si>
    <t>AccountType</t>
  </si>
  <si>
    <t>FromAccount</t>
  </si>
  <si>
    <t>CHECKING</t>
  </si>
  <si>
    <t>ACCOUNT_A</t>
  </si>
  <si>
    <t>SAVINGS</t>
  </si>
  <si>
    <t>ToAccount</t>
  </si>
  <si>
    <t>Amount</t>
  </si>
  <si>
    <t>ACCOUNT_B</t>
  </si>
  <si>
    <t>100</t>
  </si>
  <si>
    <t>50</t>
  </si>
  <si>
    <t>abc</t>
  </si>
  <si>
    <t>0 / -100</t>
  </si>
  <si>
    <t>PayeeName</t>
  </si>
  <si>
    <t>Account</t>
  </si>
  <si>
    <t>VerifyAccount</t>
  </si>
  <si>
    <t>Dien Luc</t>
  </si>
  <si>
    <t>45 Tran Hung Dao</t>
  </si>
  <si>
    <t>0908888888</t>
  </si>
  <si>
    <t>12345678</t>
  </si>
  <si>
    <t>200</t>
  </si>
  <si>
    <t>87654321</t>
  </si>
  <si>
    <t>0 / -50</t>
  </si>
  <si>
    <t>Date</t>
  </si>
  <si>
    <t>FromDate</t>
  </si>
  <si>
    <t>ToDate</t>
  </si>
  <si>
    <t>2026-03-01</t>
  </si>
  <si>
    <t>2026-03-10</t>
  </si>
  <si>
    <t>2099-01-01</t>
  </si>
  <si>
    <t>12 Nguyen Hue</t>
  </si>
  <si>
    <t>0909999999</t>
  </si>
  <si>
    <t>LoanAmount</t>
  </si>
  <si>
    <t>DownPayment</t>
  </si>
  <si>
    <t>1000</t>
  </si>
  <si>
    <t>abc / -100</t>
  </si>
  <si>
    <t>xyz / -50</t>
  </si>
  <si>
    <t xml:space="preserve">kết quả </t>
  </si>
  <si>
    <t>Mã Scenario</t>
  </si>
  <si>
    <t>Tên Scenario</t>
  </si>
  <si>
    <t>Dữ liệu kiểm thử</t>
  </si>
  <si>
    <t>SC01</t>
  </si>
  <si>
    <t>Đăng ký người dùng</t>
  </si>
  <si>
    <t>Mở trang Đăng ký từ trang Đăng nhập</t>
  </si>
  <si>
    <t>Không có</t>
  </si>
  <si>
    <t>Trang Đăng ký được mở thành công</t>
  </si>
  <si>
    <t>SC02</t>
  </si>
  <si>
    <t>Đăng ký thành công với thông tin hợp lệ</t>
  </si>
  <si>
    <t>Thông tin cá nhân hợp lệ, tên đăng nhập chưa tồn tại, mật khẩu hợp lệ</t>
  </si>
  <si>
    <t>Tài khoản mới được tạo thành công</t>
  </si>
  <si>
    <t>SC03</t>
  </si>
  <si>
    <t>Đăng ký khi để trống các trường bắt buộc</t>
  </si>
  <si>
    <t>Người dùng đang ở trang Đăng ký</t>
  </si>
  <si>
    <t>Để trống các trường bắt buộc</t>
  </si>
  <si>
    <t>Hệ thống hiển thị thông báo lỗi cho các trường bắt buộc</t>
  </si>
  <si>
    <t>SC04</t>
  </si>
  <si>
    <t>Đăng ký khi mật khẩu và xác nhận mật khẩu không khớp</t>
  </si>
  <si>
    <t>Thông tin hợp lệ, mật khẩu và xác nhận mật khẩu khác nhau</t>
  </si>
  <si>
    <t>Hệ thống từ chối đăng ký và hiển thị thông báo lỗi phù hợp</t>
  </si>
  <si>
    <t>SC05</t>
  </si>
  <si>
    <t>Đăng ký với tên đăng nhập đã tồn tại</t>
  </si>
  <si>
    <t>Tên đăng nhập đã tồn tại, các thông tin khác hợp lệ</t>
  </si>
  <si>
    <t>Hệ thống từ chối đăng ký và báo lỗi tên đăng nhập đã được sử dụng</t>
  </si>
  <si>
    <t>SC06</t>
  </si>
  <si>
    <t>Kiểm tra ô nhập tên đăng nhập, mật khẩu và nút Đăng nhập hoạt động bình thường</t>
  </si>
  <si>
    <t>Người dùng đang ở trang Đăng nhập</t>
  </si>
  <si>
    <t>Dữ liệu nhập hợp lệ</t>
  </si>
  <si>
    <t>Các ô nhập cho phép nhập dữ liệu và nút Đăng nhập có thể nhấn được</t>
  </si>
  <si>
    <t>SC07</t>
  </si>
  <si>
    <t>Người dùng đã có tài khoản đăng ký trước đó</t>
  </si>
  <si>
    <t>Tên đăng nhập và mật khẩu hợp lệ</t>
  </si>
  <si>
    <t>Người dùng đăng nhập thành công và được chuyển đến trang Tổng quan tài khoản</t>
  </si>
  <si>
    <t>SC08</t>
  </si>
  <si>
    <t>Đăng nhập với tên đăng nhập không hợp lệ</t>
  </si>
  <si>
    <t>Tên đăng nhập sai, mật khẩu đúng</t>
  </si>
  <si>
    <t>Đăng nhập thất bại và hiển thị thông báo lỗi phù hợp</t>
  </si>
  <si>
    <t>SC09</t>
  </si>
  <si>
    <t>Đăng nhập với mật khẩu không hợp lệ</t>
  </si>
  <si>
    <t>Tên đăng nhập đúng, mật khẩu sai</t>
  </si>
  <si>
    <t>SC10</t>
  </si>
  <si>
    <t>Đăng xuất sau khi đăng nhập thành công</t>
  </si>
  <si>
    <t>Người dùng đăng xuất thành công và quay về trang chủ hoặc trang đăng nhập</t>
  </si>
  <si>
    <t>SC11</t>
  </si>
  <si>
    <t>Mở trang Tổng quan tài khoản sau khi đăng nhập</t>
  </si>
  <si>
    <t>Danh sách tài khoản được hiển thị thành công</t>
  </si>
  <si>
    <t>SC12</t>
  </si>
  <si>
    <t>Kiểm tra số tài khoản và số dư được hiển thị</t>
  </si>
  <si>
    <t>Người dùng đã đăng nhập và có ít nhất một tài khoản</t>
  </si>
  <si>
    <t>Số tài khoản, số dư và số tiền khả dụng được hiển thị đúng</t>
  </si>
  <si>
    <t>SC13</t>
  </si>
  <si>
    <t>Mở chi tiết tài khoản bằng cách nhấn vào số tài khoản</t>
  </si>
  <si>
    <t>Người dùng đang ở trang Tổng quan tài khoản</t>
  </si>
  <si>
    <t>Một số tài khoản có sẵn</t>
  </si>
  <si>
    <t>Trang chi tiết của tài khoản được chọn được mở thành công</t>
  </si>
  <si>
    <t>SC14</t>
  </si>
  <si>
    <t>Xem lịch sử giao dịch trong trang chi tiết tài khoản</t>
  </si>
  <si>
    <t>Người dùng có ít nhất một tài khoản đã phát sinh giao dịch</t>
  </si>
  <si>
    <t>Tài khoản có giao dịch</t>
  </si>
  <si>
    <t>Lịch sử giao dịch của tài khoản được hiển thị đúng</t>
  </si>
  <si>
    <t>SC15</t>
  </si>
  <si>
    <t>Mở trang Mở tài khoản mới</t>
  </si>
  <si>
    <t>Biểu mẫu mở tài khoản mới được hiển thị đầy đủ</t>
  </si>
  <si>
    <t>SC16</t>
  </si>
  <si>
    <t>Mở mới tài khoản Checking thành công</t>
  </si>
  <si>
    <t>Loại tài khoản = Checking, tài khoản nguồn hợp lệ</t>
  </si>
  <si>
    <t>Tài khoản Checking mới được tạo thành công</t>
  </si>
  <si>
    <t>SC17</t>
  </si>
  <si>
    <t>Mở mới tài khoản Savings thành công</t>
  </si>
  <si>
    <t>Loại tài khoản = Savings, tài khoản nguồn hợp lệ</t>
  </si>
  <si>
    <t>Tài khoản Savings mới được tạo thành công</t>
  </si>
  <si>
    <t>SC18</t>
  </si>
  <si>
    <t>Kiểm tra tài khoản mới xuất hiện trong trang Tổng quan tài khoản</t>
  </si>
  <si>
    <t>Tài khoản vừa tạo</t>
  </si>
  <si>
    <t>Tài khoản mới được hiển thị trong danh sách tài khoản</t>
  </si>
  <si>
    <t>SC19</t>
  </si>
  <si>
    <t>Mở trang Chuyển tiền</t>
  </si>
  <si>
    <t>Người dùng đã đăng nhập và có ít nhất hai tài khoản</t>
  </si>
  <si>
    <t>Biểu mẫu chuyển tiền được hiển thị đúng</t>
  </si>
  <si>
    <t>SC20</t>
  </si>
  <si>
    <t>Chuyển tiền thành công giữa hai tài khoản hợp lệ</t>
  </si>
  <si>
    <t>Tài khoản nguồn hợp lệ, tài khoản đích hợp lệ, số tiền = 100</t>
  </si>
  <si>
    <t>Giao dịch chuyển tiền thành công và hiển thị thông báo xác nhận</t>
  </si>
  <si>
    <t>SC21</t>
  </si>
  <si>
    <t>Chuyển tiền khi để trống số tiền</t>
  </si>
  <si>
    <t>Người dùng đang ở trang Chuyển tiền</t>
  </si>
  <si>
    <t>Để trống số tiền</t>
  </si>
  <si>
    <t>Hệ thống từ chối giao dịch hoặc hiển thị thông báo lỗi</t>
  </si>
  <si>
    <t>SC22</t>
  </si>
  <si>
    <t>Chuyển tiền với định dạng số tiền không hợp lệ</t>
  </si>
  <si>
    <t>Số tiền là chữ hoặc ký tự đặc biệt</t>
  </si>
  <si>
    <t>SC23</t>
  </si>
  <si>
    <t>Chuyển tiền với số tiền bằng 0 hoặc âm</t>
  </si>
  <si>
    <t>Số tiền = 0 hoặc số âm</t>
  </si>
  <si>
    <t>Hệ thống từ chối giao dịch và hiển thị thông báo phù hợp</t>
  </si>
  <si>
    <t>SC24</t>
  </si>
  <si>
    <t>Chọn cùng một tài khoản cho tài khoản nguồn và tài khoản đích</t>
  </si>
  <si>
    <t>Cùng một tài khoản cho nguồn và đích</t>
  </si>
  <si>
    <t>Hệ thống chặn giao dịch hoặc hiển thị cảnh báo phù hợp</t>
  </si>
  <si>
    <t>SC25</t>
  </si>
  <si>
    <t>Mở trang Thanh toán hóa đơn và kiểm tra các trường nhập liệu</t>
  </si>
  <si>
    <t>Biểu mẫu Thanh toán hóa đơn và các trường nhập liệu hiển thị đầy đủ, thao tác được</t>
  </si>
  <si>
    <t>SC26</t>
  </si>
  <si>
    <t>Thanh toán hóa đơn thành công với thông tin hợp lệ</t>
  </si>
  <si>
    <t>Thông tin người nhận hợp lệ, số tài khoản hợp lệ, xác nhận tài khoản hợp lệ, số tiền hợp lệ</t>
  </si>
  <si>
    <t>Thanh toán hóa đơn được xử lý thành công</t>
  </si>
  <si>
    <t>SC27</t>
  </si>
  <si>
    <t>Gửi biểu mẫu khi để trống các trường bắt buộc</t>
  </si>
  <si>
    <t>Người dùng đang ở trang Thanh toán hóa đơn</t>
  </si>
  <si>
    <t>Để trống tên người nhận hoặc số tiền hoặc số tài khoản</t>
  </si>
  <si>
    <t>Hệ thống hiển thị lỗi xác thực dữ liệu</t>
  </si>
  <si>
    <t>SC28</t>
  </si>
  <si>
    <t>Gửi biểu mẫu khi số tài khoản và xác nhận số tài khoản không khớp</t>
  </si>
  <si>
    <t>Hai giá trị số tài khoản khác nhau</t>
  </si>
  <si>
    <t>SC29</t>
  </si>
  <si>
    <t>Kiểm tra thông báo xác nhận sau khi thanh toán thành công</t>
  </si>
  <si>
    <t>Dữ liệu thanh toán hợp lệ</t>
  </si>
  <si>
    <t>Hệ thống hiển thị thông báo hoặc chi tiết xác nhận thanh toán thành công</t>
  </si>
  <si>
    <t>SC30</t>
  </si>
  <si>
    <t>Tìm kiếm giao dịch</t>
  </si>
  <si>
    <t>Mở trang Tìm kiếm giao dịch</t>
  </si>
  <si>
    <t>Trang Tìm kiếm giao dịch được hiển thị đúng</t>
  </si>
  <si>
    <t>SC31</t>
  </si>
  <si>
    <t>Người dùng có lịch sử giao dịch</t>
  </si>
  <si>
    <t>Tài khoản hợp lệ, ngày giao dịch hợp lệ</t>
  </si>
  <si>
    <t>Hệ thống trả về đúng các giao dịch theo ngày đã nhập</t>
  </si>
  <si>
    <t>SC32</t>
  </si>
  <si>
    <t>Tài khoản hợp lệ, ngày bắt đầu hợp lệ, ngày kết thúc hợp lệ</t>
  </si>
  <si>
    <t>Hệ thống trả về các giao dịch nằm trong khoảng ngày yêu cầu</t>
  </si>
  <si>
    <t>SC33</t>
  </si>
  <si>
    <t>Tài khoản hợp lệ, số tiền giao dịch</t>
  </si>
  <si>
    <t>Hệ thống trả về đúng các giao dịch khớp với số tiền đã nhập</t>
  </si>
  <si>
    <t>SC34</t>
  </si>
  <si>
    <t>Cập nhật thông tin liên hệ</t>
  </si>
  <si>
    <t>Thông tin liên hệ mới hợp lệ</t>
  </si>
  <si>
    <t>SC35</t>
  </si>
  <si>
    <t>Người dùng đang ở trang Cập nhật thông tin liên hệ</t>
  </si>
  <si>
    <t>Hệ thống hiển thị lỗi xác thực và không lưu dữ liệu</t>
  </si>
  <si>
    <t>SC36</t>
  </si>
  <si>
    <t>Kiểm tra thông tin đã cập nhật vẫn được lưu sau khi tải lại trang</t>
  </si>
  <si>
    <t>Người dùng vừa cập nhật thông tin liên hệ</t>
  </si>
  <si>
    <t>Thông tin liên hệ đã cập nhật</t>
  </si>
  <si>
    <t>Thông tin mới vẫn được lưu chính xác sau khi tải lại trang</t>
  </si>
  <si>
    <t>SC37</t>
  </si>
  <si>
    <t>Mở trang Yêu cầu vay vốn</t>
  </si>
  <si>
    <t>Trang Yêu cầu vay vốn được hiển thị đúng</t>
  </si>
  <si>
    <t>SC38</t>
  </si>
  <si>
    <t>Gửi yêu cầu vay vốn thành công với dữ liệu hợp lệ</t>
  </si>
  <si>
    <t>Người dùng đã đăng nhập và tài khoản đủ điều kiện</t>
  </si>
  <si>
    <t>Số tiền vay hợp lệ, số tiền trả trước hợp lệ, tài khoản nguồn hợp lệ</t>
  </si>
  <si>
    <t>Yêu cầu vay được xử lý và hệ thống trả về kết quả</t>
  </si>
  <si>
    <t>SC39</t>
  </si>
  <si>
    <t>Gửi yêu cầu vay khi để trống các trường bắt buộc</t>
  </si>
  <si>
    <t>Người dùng đang ở trang Yêu cầu vay vốn</t>
  </si>
  <si>
    <t>Để trống số tiền vay hoặc số tiền trả trước</t>
  </si>
  <si>
    <t>Hệ thống từ chối yêu cầu hoặc hiển thị thông báo lỗi</t>
  </si>
  <si>
    <t>SC40</t>
  </si>
  <si>
    <t>Kiểm tra thông báo kết quả vay là duyệt hoặc từ chối</t>
  </si>
  <si>
    <t>Người dùng vừa gửi yêu cầu vay</t>
  </si>
  <si>
    <t>Dữ liệu yêu cầu vay hợp lệ</t>
  </si>
  <si>
    <t>Hệ thống hiển thị rõ kết quả duyệt hoặc từ chối</t>
  </si>
  <si>
    <t>C:\Users\Admin\Downloads\SeleniumParaBankTest_clean_refactored\bin\Debug\net8.0\Reports\Screenshots\2026-03-27\TC01_Pass_20260327_014257.png</t>
  </si>
  <si>
    <t>C:\Users\Admin\Downloads\SeleniumParaBankTest_clean_refactored\bin\Debug\net8.0\Reports\Screenshots\2026-03-27\TC02_Pass_20260327_014302.png</t>
  </si>
  <si>
    <t>Form đăng ký hiển thị đủ trường</t>
  </si>
  <si>
    <t>C:\Users\Admin\Downloads\SeleniumParaBankTest_clean_refactored\bin\Debug\net8.0\Reports\Screenshots\2026-03-27\TC03_Pass_20260327_014307.png</t>
  </si>
  <si>
    <t>Đăng ký tài khoản thành công</t>
  </si>
  <si>
    <t>C:\Users\Admin\Downloads\SeleniumParaBankTest_clean_refactored\bin\Debug\net8.0\Reports\Screenshots\2026-03-27\TC04_Pass_20260327_014313.png</t>
  </si>
  <si>
    <t>Hiển thị lỗi bắt buộc đúng mong đợi</t>
  </si>
  <si>
    <t>C:\Users\Admin\Downloads\SeleniumParaBankTest_clean_refactored\bin\Debug\net8.0\Reports\Screenshots\2026-03-27\TC05_Pass_20260327_014319.png</t>
  </si>
  <si>
    <t>Hiển thị lỗi mật khẩu không khớp</t>
  </si>
  <si>
    <t>C:\Users\Admin\Downloads\SeleniumParaBankTest_clean_refactored\bin\Debug\net8.0\Reports\Screenshots\2026-03-27\TC06_Pass_20260327_014326.png</t>
  </si>
  <si>
    <t>Hiển thị lỗi username đã tồn tại</t>
  </si>
  <si>
    <t>C:\Users\Admin\Downloads\SeleniumParaBankTest_clean_refactored\bin\Debug\net8.0\Reports\Screenshots\2026-03-27\TC07_Pass_20260327_014333.png</t>
  </si>
  <si>
    <t>Hiển thị Username, Password và nút Login</t>
  </si>
  <si>
    <t>C:\Users\Admin\Downloads\SeleniumParaBankTest_clean_refactored\bin\Debug\net8.0\Reports\Screenshots\2026-03-27\TC08_Pass_20260327_014337.png</t>
  </si>
  <si>
    <t>C:\Users\Admin\Downloads\SeleniumParaBankTest_clean_refactored\bin\Debug\net8.0\Reports\Screenshots\2026-03-27\TC09_Pass_20260327_014343.png</t>
  </si>
  <si>
    <t>Đăng nhập thành công</t>
  </si>
  <si>
    <t>C:\Users\Admin\Downloads\SeleniumParaBankTest_clean_refactored\bin\Debug\net8.0\Reports\Screenshots\2026-03-27\TC10_Pass_20260327_014348.png</t>
  </si>
  <si>
    <t>Đăng nhập bị từ chối đúng mong đợi</t>
  </si>
  <si>
    <t>C:\Users\Admin\Downloads\SeleniumParaBankTest_clean_refactored\bin\Debug\net8.0\Reports\Screenshots\2026-03-27\TC11_Pass_20260327_014353.png</t>
  </si>
  <si>
    <t>C:\Users\Admin\Downloads\SeleniumParaBankTest_clean_refactored\bin\Debug\net8.0\Reports\Screenshots\2026-03-27\TC12_Pass_20260327_014358.png</t>
  </si>
  <si>
    <t>C:\Users\Admin\Downloads\SeleniumParaBankTest_clean_refactored\bin\Debug\net8.0\Reports\Screenshots\2026-03-27\TC13_Pass_20260327_014403.png</t>
  </si>
  <si>
    <t>C:\Users\Admin\Downloads\SeleniumParaBankTest_clean_refactored\bin\Debug\net8.0\Reports\Screenshots\2026-03-27\TC14_Pass_20260327_014409.png</t>
  </si>
  <si>
    <t>Không truy cập được trang nội bộ sau đăng xuất</t>
  </si>
  <si>
    <t>C:\Users\Admin\Downloads\SeleniumParaBankTest_clean_refactored\bin\Debug\net8.0\Reports\Screenshots\2026-03-27\TC15_Pass_20260327_014415.png</t>
  </si>
  <si>
    <t>Hiển thị menu Account Services</t>
  </si>
  <si>
    <t>C:\Users\Admin\Downloads\SeleniumParaBankTest_clean_refactored\bin\Debug\net8.0\Reports\Screenshots\2026-03-27\TC16_Pass_20260327_014421.png</t>
  </si>
  <si>
    <t>C:\Users\Admin\Downloads\SeleniumParaBankTest_clean_refactored\bin\Debug\net8.0\Reports\Screenshots\2026-03-27\TC17_Pass_20260327_014427.png</t>
  </si>
  <si>
    <t>Thiếu bảng tài khoản hoặc thông tin số dư</t>
  </si>
  <si>
    <t>C:\Users\Admin\Downloads\SeleniumParaBankTest_clean_refactored\bin\Debug\net8.0\Reports\Screenshots\2026-03-27\TC18_Fail_20260327_014433.png</t>
  </si>
  <si>
    <t>Mở trang chi tiết tài khoản thành công</t>
  </si>
  <si>
    <t>C:\Users\Admin\Downloads\SeleniumParaBankTest_clean_refactored\bin\Debug\net8.0\Reports\Screenshots\2026-03-27\TC19_Pass_20260327_014439.png</t>
  </si>
  <si>
    <t>Hiển thị lịch sử giao dịch</t>
  </si>
  <si>
    <t>C:\Users\Admin\Downloads\SeleniumParaBankTest_clean_refactored\bin\Debug\net8.0\Reports\Screenshots\2026-03-27\TC20_Pass_20260327_014446.png</t>
  </si>
  <si>
    <t>Hiển thị đủ cột ngày, loại giao dịch, số tiền</t>
  </si>
  <si>
    <t>C:\Users\Admin\Downloads\SeleniumParaBankTest_clean_refactored\bin\Debug\net8.0\Reports\Screenshots\2026-03-27\TC21_Pass_20260327_014452.png</t>
  </si>
  <si>
    <t>C:\Users\Admin\Downloads\SeleniumParaBankTest_clean_refactored\bin\Debug\net8.0\Reports\Screenshots\2026-03-27\TC22_Pass_20260327_014458.png</t>
  </si>
  <si>
    <t>Tạo tài khoản CHECKING thành công</t>
  </si>
  <si>
    <t>C:\Users\Admin\Downloads\SeleniumParaBankTest_clean_refactored\bin\Debug\net8.0\Reports\Screenshots\2026-03-27\TC23_Pass_20260327_014504.png</t>
  </si>
  <si>
    <t>Tạo tài khoản SAVINGS thành công</t>
  </si>
  <si>
    <t>C:\Users\Admin\Downloads\SeleniumParaBankTest_clean_refactored\bin\Debug\net8.0\Reports\Screenshots\2026-03-27\TC24_Pass_20260327_014510.png</t>
  </si>
  <si>
    <t>Không lấy được mã tài khoản mới</t>
  </si>
  <si>
    <t>C:\Users\Admin\Downloads\SeleniumParaBankTest_clean_refactored\bin\Debug\net8.0\Reports\Screenshots\2026-03-27\TC25_Fail_20260327_014517.png</t>
  </si>
  <si>
    <t>C:\Users\Admin\Downloads\SeleniumParaBankTest_clean_refactored\bin\Debug\net8.0\Reports\Screenshots\2026-03-27\TC26_Fail_20260327_014523.png</t>
  </si>
  <si>
    <t>C:\Users\Admin\Downloads\SeleniumParaBankTest_clean_refactored\bin\Debug\net8.0\Reports\Screenshots\2026-03-27\TC27_Pass_20260327_014529.png</t>
  </si>
  <si>
    <t>C:\Users\Admin\Downloads\SeleniumParaBankTest_clean_refactored\bin\Debug\net8.0\Reports\Screenshots\2026-03-27\TC28_Pass_20260327_014535.png</t>
  </si>
  <si>
    <t>Chuyển tiền thành công</t>
  </si>
  <si>
    <t>C:\Users\Admin\Downloads\SeleniumParaBankTest_clean_refactored\bin\Debug\net8.0\Reports\Screenshots\2026-03-27\TC29_Pass_20260327_014541.png</t>
  </si>
  <si>
    <t>C:\Users\Admin\Downloads\SeleniumParaBankTest_clean_refactored\bin\Debug\net8.0\Reports\Screenshots\2026-03-27\TC30_Pass_20260327_014547.png</t>
  </si>
  <si>
    <t>Chuyển tiền thành công ngoài mong đợi</t>
  </si>
  <si>
    <t>C:\Users\Admin\Downloads\SeleniumParaBankTest_clean_refactored\bin\Debug\net8.0\Reports\Screenshots\2026-03-27\TC31_Fail_20260327_014553.png</t>
  </si>
  <si>
    <t>C:\Users\Admin\Downloads\SeleniumParaBankTest_clean_refactored\bin\Debug\net8.0\Reports\Screenshots\2026-03-27\TC32_Fail_20260327_014600.png</t>
  </si>
  <si>
    <t>C:\Users\Admin\Downloads\SeleniumParaBankTest_clean_refactored\bin\Debug\net8.0\Reports\Screenshots\2026-03-27\TC33_Fail_20260327_014606.png</t>
  </si>
  <si>
    <t>C:\Users\Admin\Downloads\SeleniumParaBankTest_clean_refactored\bin\Debug\net8.0\Reports\Screenshots\2026-03-27\TC34_Fail_20260327_014613.png</t>
  </si>
  <si>
    <t>Hiển thị thông tin xác nhận sau khi chuyển tiền</t>
  </si>
  <si>
    <t>C:\Users\Admin\Downloads\SeleniumParaBankTest_clean_refactored\bin\Debug\net8.0\Reports\Screenshots\2026-03-27\TC35_Pass_20260327_014618.png</t>
  </si>
  <si>
    <t>Không quan sát được thay đổi số dư sau khi chuyển tiền</t>
  </si>
  <si>
    <t>C:\Users\Admin\Downloads\SeleniumParaBankTest_clean_refactored\bin\Debug\net8.0\Reports\Screenshots\2026-03-27\TC36_Fail_20260327_014625.png</t>
  </si>
  <si>
    <t>C:\Users\Admin\Downloads\SeleniumParaBankTest_clean_refactored\bin\Debug\net8.0\Reports\Screenshots\2026-03-27\TC37_Pass_20260327_014631.png</t>
  </si>
  <si>
    <t>Hiển thị đầy đủ các trường Bill Pay</t>
  </si>
  <si>
    <t>C:\Users\Admin\Downloads\SeleniumParaBankTest_clean_refactored\bin\Debug\net8.0\Reports\Screenshots\2026-03-27\TC38_Pass_20260327_014637.png</t>
  </si>
  <si>
    <t>Thanh toán hóa đơn thành công</t>
  </si>
  <si>
    <t>C:\Users\Admin\Downloads\SeleniumParaBankTest_clean_refactored\bin\Debug\net8.0\Reports\Screenshots\2026-03-27\TC39_Pass_20260327_014645.png</t>
  </si>
  <si>
    <t>Thanh toán hóa đơn thành công ngoài mong đợi</t>
  </si>
  <si>
    <t>C:\Users\Admin\Downloads\SeleniumParaBankTest_clean_refactored\bin\Debug\net8.0\Reports\Screenshots\2026-03-27\TC40_Fail_20260327_014653.png</t>
  </si>
  <si>
    <t>C:\Users\Admin\Downloads\SeleniumParaBankTest_clean_refactored\bin\Debug\net8.0\Reports\Screenshots\2026-03-27\TC41_Fail_20260327_014700.png</t>
  </si>
  <si>
    <t>C:\Users\Admin\Downloads\SeleniumParaBankTest_clean_refactored\bin\Debug\net8.0\Reports\Screenshots\2026-03-27\TC42_Fail_20260327_014707.png</t>
  </si>
  <si>
    <t>C:\Users\Admin\Downloads\SeleniumParaBankTest_clean_refactored\bin\Debug\net8.0\Reports\Screenshots\2026-03-27\TC43_Fail_20260327_014715.png</t>
  </si>
  <si>
    <t>Hiển thị thông báo xác nhận sau khi thanh toán</t>
  </si>
  <si>
    <t>C:\Users\Admin\Downloads\SeleniumParaBankTest_clean_refactored\bin\Debug\net8.0\Reports\Screenshots\2026-03-27\TC44_Pass_20260327_014723.png</t>
  </si>
  <si>
    <t>C:\Users\Admin\Downloads\SeleniumParaBankTest_clean_refactored\bin\Debug\net8.0\Reports\Screenshots\2026-03-27\TC45_Pass_20260327_014729.png</t>
  </si>
  <si>
    <t>Hiển thị các tùy chọn tìm giao dịch</t>
  </si>
  <si>
    <t>C:\Users\Admin\Downloads\SeleniumParaBankTest_clean_refactored\bin\Debug\net8.0\Reports\Screenshots\2026-03-27\TC46_Pass_20260327_014735.png</t>
  </si>
  <si>
    <t>Tìm giao dịch thành công</t>
  </si>
  <si>
    <t>C:\Users\Admin\Downloads\SeleniumParaBankTest_clean_refactored\bin\Debug\net8.0\Reports\Screenshots\2026-03-27\TC47_Pass_20260327_014742.png</t>
  </si>
  <si>
    <t>C:\Users\Admin\Downloads\SeleniumParaBankTest_clean_refactored\bin\Debug\net8.0\Reports\Screenshots\2026-03-27\TC48_Pass_20260327_014748.png</t>
  </si>
  <si>
    <t>C:\Users\Admin\Downloads\SeleniumParaBankTest_clean_refactored\bin\Debug\net8.0\Reports\Screenshots\2026-03-27\TC49_Pass_20260327_014754.png</t>
  </si>
  <si>
    <t>Có kết quả ngoài mong đợi</t>
  </si>
  <si>
    <t>C:\Users\Admin\Downloads\SeleniumParaBankTest_clean_refactored\bin\Debug\net8.0\Reports\Screenshots\2026-03-27\TC50_Fail_20260327_014801.png</t>
  </si>
  <si>
    <t>C:\Users\Admin\Downloads\SeleniumParaBankTest_clean_refactored\bin\Debug\net8.0\Reports\Screenshots\2026-03-27\TC51_Fail_20260327_014808.png</t>
  </si>
  <si>
    <t>C:\Users\Admin\Downloads\SeleniumParaBankTest_clean_refactored\bin\Debug\net8.0\Reports\Screenshots\2026-03-27\TC52_Pass_20260327_014814.png</t>
  </si>
  <si>
    <t>Form chưa hiển thị sẵn thông tin hiện tại</t>
  </si>
  <si>
    <t>C:\Users\Admin\Downloads\SeleniumParaBankTest_clean_refactored\bin\Debug\net8.0\Reports\Screenshots\2026-03-27\TC53_Fail_20260327_014820.png</t>
  </si>
  <si>
    <t>Cập nhật thông tin liên hệ thành công</t>
  </si>
  <si>
    <t>C:\Users\Admin\Downloads\SeleniumParaBankTest_clean_refactored\bin\Debug\net8.0\Reports\Screenshots\2026-03-27\TC54_Pass_20260327_014827.png</t>
  </si>
  <si>
    <t>Cập nhật thành công ngoài mong đợi</t>
  </si>
  <si>
    <t>C:\Users\Admin\Downloads\SeleniumParaBankTest_clean_refactored\bin\Debug\net8.0\Reports\Screenshots\2026-03-27\TC55_Fail_20260327_014834.png</t>
  </si>
  <si>
    <t>Thông tin mới không được lưu sau khi tải lại</t>
  </si>
  <si>
    <t>C:\Users\Admin\Downloads\SeleniumParaBankTest_clean_refactored\bin\Debug\net8.0\Reports\Screenshots\2026-03-27\TC56_Fail_20260327_014842.png</t>
  </si>
  <si>
    <t>C:\Users\Admin\Downloads\SeleniumParaBankTest_clean_refactored\bin\Debug\net8.0\Reports\Screenshots\2026-03-27\TC57_Pass_20260327_014848.png</t>
  </si>
  <si>
    <t>Gửi yêu cầu vay thành công</t>
  </si>
  <si>
    <t>C:\Users\Admin\Downloads\SeleniumParaBankTest_clean_refactored\bin\Debug\net8.0\Reports\Screenshots\2026-03-27\TC58_Pass_20260327_014855.png</t>
  </si>
  <si>
    <t>Yêu cầu vay thành công ngoài mong đợi</t>
  </si>
  <si>
    <t>C:\Users\Admin\Downloads\SeleniumParaBankTest_clean_refactored\bin\Debug\net8.0\Reports\Screenshots\2026-03-27\TC59_Fail_20260327_014901.png</t>
  </si>
  <si>
    <t>C:\Users\Admin\Downloads\SeleniumParaBankTest_clean_refactored\bin\Debug\net8.0\Reports\Screenshots\2026-03-27\TC60_Fail_20260327_014908.png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</si>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</sst>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9e917953e0634e56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2438400</xdr:colOff>
      <xdr:row>14</xdr:row>
      <xdr:rowOff>222250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F0E2DEC2-1879-30F8-5A6D-30A5D52DDE0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2438400</xdr:colOff>
      <xdr:row>14</xdr:row>
      <xdr:rowOff>222250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3BFC840-4264-826D-7ECE-0D83DA8076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81407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2438400</xdr:colOff>
      <xdr:row>11</xdr:row>
      <xdr:rowOff>457200</xdr:rowOff>
    </xdr:to>
    <xdr:sp macro="" textlink="">
      <xdr:nvSpPr>
        <xdr:cNvPr id="3" name="AutoShape 3" hidden="1">
          <a:extLst>
            <a:ext uri="{FF2B5EF4-FFF2-40B4-BE49-F238E27FC236}">
              <a16:creationId xmlns:a16="http://schemas.microsoft.com/office/drawing/2014/main" id="{48C1C25B-9D40-8368-B515-A1EB8DE27551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63500</xdr:colOff>
      <xdr:row>21</xdr:row>
      <xdr:rowOff>69850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D984658C-5C75-6EE4-36DD-4ECA4D1693C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63500</xdr:colOff>
      <xdr:row>21</xdr:row>
      <xdr:rowOff>69850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DCE08EF-4CE7-9EB8-BCE0-4BD26B929E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73735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514350</xdr:colOff>
      <xdr:row>21</xdr:row>
      <xdr:rowOff>69850</xdr:rowOff>
    </xdr:to>
    <xdr:sp macro="" textlink="">
      <xdr:nvSpPr>
        <xdr:cNvPr id="3" name="AutoShape 3" hidden="1">
          <a:extLst>
            <a:ext uri="{FF2B5EF4-FFF2-40B4-BE49-F238E27FC236}">
              <a16:creationId xmlns:a16="http://schemas.microsoft.com/office/drawing/2014/main" id="{14937FB0-DEA4-CD7A-70E1-A31852ECECC8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FDD2500-9076-3DCD-24BE-DFD6C77240ED}"/>
  <xltc:person displayName="OpenAI" id="{80E33E0B-5EC4-CDBC-C41E-770D9BB22C2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0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0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N8" sqref="N8"/>
    </sheetView>
  </sheetViews>
  <sheetFormatPr defaultRowHeight="14.5" x14ac:dyDescent="0.35"/>
  <cols>
    <col min="1" max="1" width="22" customWidth="1"/>
    <col min="2" max="2" width="18" customWidth="1"/>
    <col min="4" max="4" width="28" customWidth="1"/>
    <col min="5" max="5" width="12" customWidth="1"/>
  </cols>
  <sheetData>
    <row r="1" spans="1:5" x14ac:dyDescent="0.35">
      <c r="A1" s="10" t="s">
        <v>0</v>
      </c>
      <c r="B1" s="11"/>
      <c r="C1" s="11"/>
      <c r="D1" s="11"/>
      <c r="E1" s="1"/>
    </row>
    <row r="2" spans="1:5" x14ac:dyDescent="0.35">
      <c r="A2" s="2"/>
      <c r="B2" s="1"/>
      <c r="C2" s="2"/>
      <c r="D2" s="2"/>
      <c r="E2" s="1"/>
    </row>
    <row r="3" spans="1:5" ht="87" x14ac:dyDescent="0.35">
      <c r="A3" s="2" t="s">
        <v>1</v>
      </c>
      <c r="B3" s="1" t="s">
        <v>2</v>
      </c>
      <c r="C3" s="2"/>
      <c r="D3" s="2"/>
      <c r="E3" s="1"/>
    </row>
    <row r="4" spans="1:5" x14ac:dyDescent="0.35">
      <c r="A4" s="2"/>
      <c r="B4" s="1"/>
      <c r="C4" s="2"/>
      <c r="D4" s="2"/>
      <c r="E4" s="1"/>
    </row>
    <row r="5" spans="1:5" x14ac:dyDescent="0.35">
      <c r="A5" s="3" t="s">
        <v>3</v>
      </c>
      <c r="B5" s="4" t="s">
        <v>4</v>
      </c>
      <c r="C5" s="2"/>
      <c r="D5" s="3" t="s">
        <v>5</v>
      </c>
      <c r="E5" s="4" t="s">
        <v>6</v>
      </c>
    </row>
    <row r="6" spans="1:5" x14ac:dyDescent="0.35">
      <c r="A6" s="2" t="s">
        <v>7</v>
      </c>
      <c r="B6" s="1">
        <f>COUNTA(TestCases!A2:A1000)</f>
        <v>60</v>
      </c>
      <c r="C6" s="2"/>
      <c r="D6" s="2" t="s">
        <v>8</v>
      </c>
      <c r="E6" s="1">
        <f>COUNTIF(TestCases!B:B,D6)</f>
        <v>7</v>
      </c>
    </row>
    <row r="7" spans="1:5" x14ac:dyDescent="0.35">
      <c r="A7" s="2" t="s">
        <v>9</v>
      </c>
      <c r="B7" s="1">
        <f>COUNTIF(TestCases!K:K,"Smoke")</f>
        <v>3</v>
      </c>
      <c r="C7" s="2"/>
      <c r="D7" s="2" t="s">
        <v>10</v>
      </c>
      <c r="E7" s="1">
        <f>COUNTIF(TestCases!B:B,D7)</f>
        <v>8</v>
      </c>
    </row>
    <row r="8" spans="1:5" x14ac:dyDescent="0.35">
      <c r="A8" s="2" t="s">
        <v>11</v>
      </c>
      <c r="B8" s="1">
        <f>COUNTIF(TestCases!K:K,"GUI")</f>
        <v>17</v>
      </c>
      <c r="C8" s="2"/>
      <c r="D8" s="2" t="s">
        <v>12</v>
      </c>
      <c r="E8" s="1">
        <f>COUNTIF(TestCases!B:B,D8)</f>
        <v>6</v>
      </c>
    </row>
    <row r="9" spans="1:5" x14ac:dyDescent="0.35">
      <c r="A9" s="2" t="s">
        <v>13</v>
      </c>
      <c r="B9" s="1">
        <f>COUNTIF(TestCases!K:K,"Functional")</f>
        <v>40</v>
      </c>
      <c r="C9" s="2"/>
      <c r="D9" s="2" t="s">
        <v>14</v>
      </c>
      <c r="E9" s="1">
        <f>COUNTIF(TestCases!B:B,D9)</f>
        <v>5</v>
      </c>
    </row>
    <row r="10" spans="1:5" x14ac:dyDescent="0.35">
      <c r="A10" s="2" t="s">
        <v>15</v>
      </c>
      <c r="B10" s="1">
        <f>COUNTIF(TestExecution!F:F,"Pass")</f>
        <v>0</v>
      </c>
      <c r="C10" s="2"/>
      <c r="D10" s="2" t="s">
        <v>16</v>
      </c>
      <c r="E10" s="1">
        <f>COUNTIF(TestCases!B:B,D10)</f>
        <v>10</v>
      </c>
    </row>
    <row r="11" spans="1:5" x14ac:dyDescent="0.35">
      <c r="A11" s="2" t="s">
        <v>17</v>
      </c>
      <c r="B11" s="1">
        <f>COUNTIF(TestExecution!F:F,"Fail")</f>
        <v>0</v>
      </c>
      <c r="C11" s="2"/>
      <c r="D11" s="2" t="s">
        <v>18</v>
      </c>
      <c r="E11" s="1">
        <f>COUNTIF(TestCases!B:B,D11)</f>
        <v>8</v>
      </c>
    </row>
    <row r="12" spans="1:5" x14ac:dyDescent="0.35">
      <c r="A12" s="2" t="s">
        <v>19</v>
      </c>
      <c r="B12" s="1">
        <f>COUNTIF(TestExecution!F:F,"Blocked")</f>
        <v>0</v>
      </c>
      <c r="C12" s="2"/>
      <c r="D12" s="2" t="s">
        <v>20</v>
      </c>
      <c r="E12" s="1">
        <f>COUNTIF(TestCases!B:B,D12)</f>
        <v>7</v>
      </c>
    </row>
    <row r="13" spans="1:5" x14ac:dyDescent="0.35">
      <c r="A13" s="2" t="s">
        <v>21</v>
      </c>
      <c r="B13" s="1">
        <f>COUNTIF(TestExecution!F:F,"Not Run")</f>
        <v>60</v>
      </c>
      <c r="C13" s="2"/>
      <c r="D13" s="2" t="s">
        <v>22</v>
      </c>
      <c r="E13" s="1">
        <f>COUNTIF(TestCases!B:B,D13)</f>
        <v>5</v>
      </c>
    </row>
    <row r="14" spans="1:5" x14ac:dyDescent="0.35">
      <c r="A14" s="2" t="s">
        <v>23</v>
      </c>
      <c r="B14" s="5">
        <f>IF((B10+B11+B12+B13)=0,0,B10/(B10+B11+B12+B13))</f>
        <v>0</v>
      </c>
      <c r="C14" s="2"/>
      <c r="D14" s="2" t="s">
        <v>24</v>
      </c>
      <c r="E14" s="1">
        <f>COUNTIF(TestCases!B:B,D14)</f>
        <v>4</v>
      </c>
    </row>
    <row r="15" spans="1:5" x14ac:dyDescent="0.35">
      <c r="A15" s="2"/>
      <c r="B15" s="1"/>
      <c r="C15" s="2"/>
      <c r="D15" s="2"/>
      <c r="E15" s="1"/>
    </row>
    <row r="16" spans="1:5" x14ac:dyDescent="0.35">
      <c r="A16" s="2"/>
      <c r="B16" s="1"/>
      <c r="C16" s="2"/>
      <c r="D16" s="2"/>
      <c r="E16" s="1"/>
    </row>
    <row r="17" spans="1:5" x14ac:dyDescent="0.35">
      <c r="A17" s="2"/>
      <c r="B17" s="1"/>
      <c r="C17" s="2"/>
      <c r="D17" s="2"/>
      <c r="E17" s="1"/>
    </row>
    <row r="18" spans="1:5" x14ac:dyDescent="0.35">
      <c r="A18" s="2"/>
      <c r="B18" s="1"/>
      <c r="C18" s="2"/>
      <c r="D18" s="2"/>
      <c r="E18" s="1"/>
    </row>
    <row r="19" spans="1:5" x14ac:dyDescent="0.35">
      <c r="A19" s="2"/>
      <c r="B19" s="1"/>
      <c r="C19" s="2"/>
      <c r="D19" s="2"/>
      <c r="E19" s="1"/>
    </row>
    <row r="20" spans="1:5" x14ac:dyDescent="0.35">
      <c r="A20" s="2"/>
      <c r="B20" s="1"/>
      <c r="C20" s="2"/>
      <c r="D20" s="2"/>
      <c r="E20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selection activeCell="D16" sqref="D16"/>
    </sheetView>
  </sheetViews>
  <sheetFormatPr defaultRowHeight="14.5" x14ac:dyDescent="0.35"/>
  <cols>
    <col min="1" max="1" width="11.08984375" bestFit="1" customWidth="1"/>
    <col min="2" max="2" width="21.36328125" bestFit="1" customWidth="1"/>
    <col min="3" max="3" width="66.6328125" bestFit="1" customWidth="1"/>
    <col min="4" max="4" width="47.36328125" bestFit="1" customWidth="1"/>
    <col min="5" max="5" width="72" bestFit="1" customWidth="1"/>
    <col min="6" max="6" width="68.1796875" bestFit="1" customWidth="1"/>
    <col min="7" max="7" width="13.26953125" bestFit="1" customWidth="1"/>
    <col min="8" max="8" width="9.36328125" bestFit="1" customWidth="1"/>
  </cols>
  <sheetData>
    <row r="1" spans="1:8" x14ac:dyDescent="0.35">
      <c r="A1" s="8" t="s">
        <v>484</v>
      </c>
      <c r="B1" s="8" t="s">
        <v>27</v>
      </c>
      <c r="C1" s="8" t="s">
        <v>485</v>
      </c>
      <c r="D1" s="8" t="s">
        <v>29</v>
      </c>
      <c r="E1" s="8" t="s">
        <v>486</v>
      </c>
      <c r="F1" s="8" t="s">
        <v>33</v>
      </c>
      <c r="G1" s="8" t="s">
        <v>34</v>
      </c>
      <c r="H1" s="8" t="s">
        <v>35</v>
      </c>
    </row>
    <row r="2" spans="1:8" x14ac:dyDescent="0.35">
      <c r="A2" s="7" t="s">
        <v>487</v>
      </c>
      <c r="B2" s="7" t="s">
        <v>488</v>
      </c>
      <c r="C2" s="7" t="s">
        <v>489</v>
      </c>
      <c r="D2" s="7" t="s">
        <v>46</v>
      </c>
      <c r="E2" s="7" t="s">
        <v>490</v>
      </c>
      <c r="F2" s="7" t="s">
        <v>491</v>
      </c>
      <c r="G2" s="7" t="s">
        <v>42</v>
      </c>
      <c r="H2" s="7" t="s">
        <v>11</v>
      </c>
    </row>
    <row r="3" spans="1:8" x14ac:dyDescent="0.35">
      <c r="A3" s="7" t="s">
        <v>492</v>
      </c>
      <c r="B3" s="7" t="s">
        <v>488</v>
      </c>
      <c r="C3" s="7" t="s">
        <v>493</v>
      </c>
      <c r="D3" s="7" t="s">
        <v>56</v>
      </c>
      <c r="E3" s="7" t="s">
        <v>494</v>
      </c>
      <c r="F3" s="7" t="s">
        <v>495</v>
      </c>
      <c r="G3" s="7" t="s">
        <v>61</v>
      </c>
      <c r="H3" s="7" t="s">
        <v>13</v>
      </c>
    </row>
    <row r="4" spans="1:8" x14ac:dyDescent="0.35">
      <c r="A4" s="7" t="s">
        <v>496</v>
      </c>
      <c r="B4" s="7" t="s">
        <v>488</v>
      </c>
      <c r="C4" s="7" t="s">
        <v>497</v>
      </c>
      <c r="D4" s="7" t="s">
        <v>498</v>
      </c>
      <c r="E4" s="7" t="s">
        <v>499</v>
      </c>
      <c r="F4" s="7" t="s">
        <v>500</v>
      </c>
      <c r="G4" s="7" t="s">
        <v>61</v>
      </c>
      <c r="H4" s="7" t="s">
        <v>13</v>
      </c>
    </row>
    <row r="5" spans="1:8" x14ac:dyDescent="0.35">
      <c r="A5" s="7" t="s">
        <v>501</v>
      </c>
      <c r="B5" s="7" t="s">
        <v>488</v>
      </c>
      <c r="C5" s="7" t="s">
        <v>502</v>
      </c>
      <c r="D5" s="7" t="s">
        <v>498</v>
      </c>
      <c r="E5" s="7" t="s">
        <v>503</v>
      </c>
      <c r="F5" s="7" t="s">
        <v>504</v>
      </c>
      <c r="G5" s="7" t="s">
        <v>61</v>
      </c>
      <c r="H5" s="7" t="s">
        <v>13</v>
      </c>
    </row>
    <row r="6" spans="1:8" x14ac:dyDescent="0.35">
      <c r="A6" s="7" t="s">
        <v>505</v>
      </c>
      <c r="B6" s="7" t="s">
        <v>488</v>
      </c>
      <c r="C6" s="7" t="s">
        <v>506</v>
      </c>
      <c r="D6" s="7" t="s">
        <v>498</v>
      </c>
      <c r="E6" s="7" t="s">
        <v>507</v>
      </c>
      <c r="F6" s="7" t="s">
        <v>508</v>
      </c>
      <c r="G6" s="7" t="s">
        <v>61</v>
      </c>
      <c r="H6" s="7" t="s">
        <v>13</v>
      </c>
    </row>
    <row r="7" spans="1:8" x14ac:dyDescent="0.35">
      <c r="A7" s="7" t="s">
        <v>509</v>
      </c>
      <c r="B7" s="7" t="s">
        <v>79</v>
      </c>
      <c r="C7" s="7" t="s">
        <v>510</v>
      </c>
      <c r="D7" s="7" t="s">
        <v>511</v>
      </c>
      <c r="E7" s="7" t="s">
        <v>512</v>
      </c>
      <c r="F7" s="7" t="s">
        <v>513</v>
      </c>
      <c r="G7" s="7" t="s">
        <v>42</v>
      </c>
      <c r="H7" s="7" t="s">
        <v>11</v>
      </c>
    </row>
    <row r="8" spans="1:8" x14ac:dyDescent="0.35">
      <c r="A8" s="7" t="s">
        <v>514</v>
      </c>
      <c r="B8" s="7" t="s">
        <v>79</v>
      </c>
      <c r="C8" s="7" t="s">
        <v>90</v>
      </c>
      <c r="D8" s="7" t="s">
        <v>515</v>
      </c>
      <c r="E8" s="7" t="s">
        <v>516</v>
      </c>
      <c r="F8" s="7" t="s">
        <v>517</v>
      </c>
      <c r="G8" s="7" t="s">
        <v>61</v>
      </c>
      <c r="H8" s="7" t="s">
        <v>9</v>
      </c>
    </row>
    <row r="9" spans="1:8" x14ac:dyDescent="0.35">
      <c r="A9" s="7" t="s">
        <v>518</v>
      </c>
      <c r="B9" s="7" t="s">
        <v>79</v>
      </c>
      <c r="C9" s="7" t="s">
        <v>519</v>
      </c>
      <c r="D9" s="7" t="s">
        <v>511</v>
      </c>
      <c r="E9" s="7" t="s">
        <v>520</v>
      </c>
      <c r="F9" s="7" t="s">
        <v>521</v>
      </c>
      <c r="G9" s="7" t="s">
        <v>61</v>
      </c>
      <c r="H9" s="7" t="s">
        <v>13</v>
      </c>
    </row>
    <row r="10" spans="1:8" x14ac:dyDescent="0.35">
      <c r="A10" s="7" t="s">
        <v>522</v>
      </c>
      <c r="B10" s="7" t="s">
        <v>79</v>
      </c>
      <c r="C10" s="7" t="s">
        <v>523</v>
      </c>
      <c r="D10" s="7" t="s">
        <v>511</v>
      </c>
      <c r="E10" s="7" t="s">
        <v>524</v>
      </c>
      <c r="F10" s="7" t="s">
        <v>521</v>
      </c>
      <c r="G10" s="7" t="s">
        <v>61</v>
      </c>
      <c r="H10" s="7" t="s">
        <v>13</v>
      </c>
    </row>
    <row r="11" spans="1:8" x14ac:dyDescent="0.35">
      <c r="A11" s="7" t="s">
        <v>525</v>
      </c>
      <c r="B11" s="7" t="s">
        <v>109</v>
      </c>
      <c r="C11" s="7" t="s">
        <v>526</v>
      </c>
      <c r="D11" s="7" t="s">
        <v>111</v>
      </c>
      <c r="E11" s="7" t="s">
        <v>490</v>
      </c>
      <c r="F11" s="7" t="s">
        <v>527</v>
      </c>
      <c r="G11" s="7" t="s">
        <v>61</v>
      </c>
      <c r="H11" s="7" t="s">
        <v>9</v>
      </c>
    </row>
    <row r="12" spans="1:8" x14ac:dyDescent="0.35">
      <c r="A12" s="7" t="s">
        <v>528</v>
      </c>
      <c r="B12" s="7" t="s">
        <v>121</v>
      </c>
      <c r="C12" s="7" t="s">
        <v>529</v>
      </c>
      <c r="D12" s="7" t="s">
        <v>111</v>
      </c>
      <c r="E12" s="7" t="s">
        <v>490</v>
      </c>
      <c r="F12" s="7" t="s">
        <v>530</v>
      </c>
      <c r="G12" s="7" t="s">
        <v>61</v>
      </c>
      <c r="H12" s="7" t="s">
        <v>13</v>
      </c>
    </row>
    <row r="13" spans="1:8" x14ac:dyDescent="0.35">
      <c r="A13" s="7" t="s">
        <v>531</v>
      </c>
      <c r="B13" s="7" t="s">
        <v>121</v>
      </c>
      <c r="C13" s="7" t="s">
        <v>532</v>
      </c>
      <c r="D13" s="7" t="s">
        <v>533</v>
      </c>
      <c r="E13" s="7" t="s">
        <v>490</v>
      </c>
      <c r="F13" s="7" t="s">
        <v>534</v>
      </c>
      <c r="G13" s="7" t="s">
        <v>42</v>
      </c>
      <c r="H13" s="7" t="s">
        <v>13</v>
      </c>
    </row>
    <row r="14" spans="1:8" x14ac:dyDescent="0.35">
      <c r="A14" s="7" t="s">
        <v>535</v>
      </c>
      <c r="B14" s="7" t="s">
        <v>121</v>
      </c>
      <c r="C14" s="7" t="s">
        <v>536</v>
      </c>
      <c r="D14" s="7" t="s">
        <v>537</v>
      </c>
      <c r="E14" s="7" t="s">
        <v>538</v>
      </c>
      <c r="F14" s="7" t="s">
        <v>539</v>
      </c>
      <c r="G14" s="7" t="s">
        <v>42</v>
      </c>
      <c r="H14" s="7" t="s">
        <v>11</v>
      </c>
    </row>
    <row r="15" spans="1:8" x14ac:dyDescent="0.35">
      <c r="A15" s="7" t="s">
        <v>540</v>
      </c>
      <c r="B15" s="7" t="s">
        <v>121</v>
      </c>
      <c r="C15" s="7" t="s">
        <v>541</v>
      </c>
      <c r="D15" s="7" t="s">
        <v>542</v>
      </c>
      <c r="E15" s="7" t="s">
        <v>543</v>
      </c>
      <c r="F15" s="7" t="s">
        <v>544</v>
      </c>
      <c r="G15" s="7" t="s">
        <v>42</v>
      </c>
      <c r="H15" s="7" t="s">
        <v>13</v>
      </c>
    </row>
    <row r="16" spans="1:8" x14ac:dyDescent="0.35">
      <c r="A16" s="7" t="s">
        <v>545</v>
      </c>
      <c r="B16" s="7" t="s">
        <v>150</v>
      </c>
      <c r="C16" s="7" t="s">
        <v>546</v>
      </c>
      <c r="D16" s="7" t="s">
        <v>111</v>
      </c>
      <c r="E16" s="7" t="s">
        <v>490</v>
      </c>
      <c r="F16" s="7" t="s">
        <v>547</v>
      </c>
      <c r="G16" s="7" t="s">
        <v>42</v>
      </c>
      <c r="H16" s="7" t="s">
        <v>11</v>
      </c>
    </row>
    <row r="17" spans="1:8" x14ac:dyDescent="0.35">
      <c r="A17" s="7" t="s">
        <v>548</v>
      </c>
      <c r="B17" s="7" t="s">
        <v>150</v>
      </c>
      <c r="C17" s="7" t="s">
        <v>549</v>
      </c>
      <c r="D17" s="7" t="s">
        <v>156</v>
      </c>
      <c r="E17" s="7" t="s">
        <v>550</v>
      </c>
      <c r="F17" s="7" t="s">
        <v>551</v>
      </c>
      <c r="G17" s="7" t="s">
        <v>61</v>
      </c>
      <c r="H17" s="7" t="s">
        <v>13</v>
      </c>
    </row>
    <row r="18" spans="1:8" x14ac:dyDescent="0.35">
      <c r="A18" s="7" t="s">
        <v>552</v>
      </c>
      <c r="B18" s="7" t="s">
        <v>150</v>
      </c>
      <c r="C18" s="7" t="s">
        <v>553</v>
      </c>
      <c r="D18" s="7" t="s">
        <v>156</v>
      </c>
      <c r="E18" s="7" t="s">
        <v>554</v>
      </c>
      <c r="F18" s="7" t="s">
        <v>555</v>
      </c>
      <c r="G18" s="7" t="s">
        <v>61</v>
      </c>
      <c r="H18" s="7" t="s">
        <v>13</v>
      </c>
    </row>
    <row r="19" spans="1:8" x14ac:dyDescent="0.35">
      <c r="A19" s="7" t="s">
        <v>556</v>
      </c>
      <c r="B19" s="7" t="s">
        <v>150</v>
      </c>
      <c r="C19" s="7" t="s">
        <v>557</v>
      </c>
      <c r="D19" s="7" t="s">
        <v>168</v>
      </c>
      <c r="E19" s="7" t="s">
        <v>558</v>
      </c>
      <c r="F19" s="7" t="s">
        <v>559</v>
      </c>
      <c r="G19" s="7" t="s">
        <v>61</v>
      </c>
      <c r="H19" s="7" t="s">
        <v>13</v>
      </c>
    </row>
    <row r="20" spans="1:8" x14ac:dyDescent="0.35">
      <c r="A20" s="7" t="s">
        <v>560</v>
      </c>
      <c r="B20" s="7" t="s">
        <v>176</v>
      </c>
      <c r="C20" s="7" t="s">
        <v>561</v>
      </c>
      <c r="D20" s="7" t="s">
        <v>562</v>
      </c>
      <c r="E20" s="7" t="s">
        <v>490</v>
      </c>
      <c r="F20" s="7" t="s">
        <v>563</v>
      </c>
      <c r="G20" s="7" t="s">
        <v>42</v>
      </c>
      <c r="H20" s="7" t="s">
        <v>11</v>
      </c>
    </row>
    <row r="21" spans="1:8" x14ac:dyDescent="0.35">
      <c r="A21" s="7" t="s">
        <v>564</v>
      </c>
      <c r="B21" s="7" t="s">
        <v>176</v>
      </c>
      <c r="C21" s="7" t="s">
        <v>565</v>
      </c>
      <c r="D21" s="7" t="s">
        <v>562</v>
      </c>
      <c r="E21" s="7" t="s">
        <v>566</v>
      </c>
      <c r="F21" s="7" t="s">
        <v>567</v>
      </c>
      <c r="G21" s="7" t="s">
        <v>61</v>
      </c>
      <c r="H21" s="7" t="s">
        <v>9</v>
      </c>
    </row>
    <row r="22" spans="1:8" x14ac:dyDescent="0.35">
      <c r="A22" s="7" t="s">
        <v>568</v>
      </c>
      <c r="B22" s="7" t="s">
        <v>176</v>
      </c>
      <c r="C22" s="7" t="s">
        <v>569</v>
      </c>
      <c r="D22" s="7" t="s">
        <v>570</v>
      </c>
      <c r="E22" s="7" t="s">
        <v>571</v>
      </c>
      <c r="F22" s="7" t="s">
        <v>572</v>
      </c>
      <c r="G22" s="7" t="s">
        <v>61</v>
      </c>
      <c r="H22" s="7" t="s">
        <v>13</v>
      </c>
    </row>
    <row r="23" spans="1:8" x14ac:dyDescent="0.35">
      <c r="A23" s="7" t="s">
        <v>573</v>
      </c>
      <c r="B23" s="7" t="s">
        <v>176</v>
      </c>
      <c r="C23" s="7" t="s">
        <v>574</v>
      </c>
      <c r="D23" s="7" t="s">
        <v>570</v>
      </c>
      <c r="E23" s="7" t="s">
        <v>575</v>
      </c>
      <c r="F23" s="7" t="s">
        <v>572</v>
      </c>
      <c r="G23" s="7" t="s">
        <v>61</v>
      </c>
      <c r="H23" s="7" t="s">
        <v>13</v>
      </c>
    </row>
    <row r="24" spans="1:8" x14ac:dyDescent="0.35">
      <c r="A24" s="7" t="s">
        <v>576</v>
      </c>
      <c r="B24" s="7" t="s">
        <v>176</v>
      </c>
      <c r="C24" s="7" t="s">
        <v>577</v>
      </c>
      <c r="D24" s="7" t="s">
        <v>570</v>
      </c>
      <c r="E24" s="7" t="s">
        <v>578</v>
      </c>
      <c r="F24" s="7" t="s">
        <v>579</v>
      </c>
      <c r="G24" s="7" t="s">
        <v>61</v>
      </c>
      <c r="H24" s="7" t="s">
        <v>13</v>
      </c>
    </row>
    <row r="25" spans="1:8" x14ac:dyDescent="0.35">
      <c r="A25" s="7" t="s">
        <v>580</v>
      </c>
      <c r="B25" s="7" t="s">
        <v>176</v>
      </c>
      <c r="C25" s="7" t="s">
        <v>581</v>
      </c>
      <c r="D25" s="7" t="s">
        <v>570</v>
      </c>
      <c r="E25" s="7" t="s">
        <v>582</v>
      </c>
      <c r="F25" s="7" t="s">
        <v>583</v>
      </c>
      <c r="G25" s="7" t="s">
        <v>42</v>
      </c>
      <c r="H25" s="7" t="s">
        <v>13</v>
      </c>
    </row>
    <row r="26" spans="1:8" x14ac:dyDescent="0.35">
      <c r="A26" s="7" t="s">
        <v>584</v>
      </c>
      <c r="B26" s="7" t="s">
        <v>226</v>
      </c>
      <c r="C26" s="7" t="s">
        <v>585</v>
      </c>
      <c r="D26" s="7" t="s">
        <v>111</v>
      </c>
      <c r="E26" s="7" t="s">
        <v>490</v>
      </c>
      <c r="F26" s="7" t="s">
        <v>586</v>
      </c>
      <c r="G26" s="7" t="s">
        <v>42</v>
      </c>
      <c r="H26" s="7" t="s">
        <v>11</v>
      </c>
    </row>
    <row r="27" spans="1:8" x14ac:dyDescent="0.35">
      <c r="A27" s="7" t="s">
        <v>587</v>
      </c>
      <c r="B27" s="7" t="s">
        <v>226</v>
      </c>
      <c r="C27" s="7" t="s">
        <v>588</v>
      </c>
      <c r="D27" s="7" t="s">
        <v>533</v>
      </c>
      <c r="E27" s="7" t="s">
        <v>589</v>
      </c>
      <c r="F27" s="7" t="s">
        <v>590</v>
      </c>
      <c r="G27" s="7" t="s">
        <v>61</v>
      </c>
      <c r="H27" s="7" t="s">
        <v>13</v>
      </c>
    </row>
    <row r="28" spans="1:8" x14ac:dyDescent="0.35">
      <c r="A28" s="7" t="s">
        <v>591</v>
      </c>
      <c r="B28" s="7" t="s">
        <v>226</v>
      </c>
      <c r="C28" s="7" t="s">
        <v>592</v>
      </c>
      <c r="D28" s="7" t="s">
        <v>593</v>
      </c>
      <c r="E28" s="7" t="s">
        <v>594</v>
      </c>
      <c r="F28" s="7" t="s">
        <v>595</v>
      </c>
      <c r="G28" s="7" t="s">
        <v>61</v>
      </c>
      <c r="H28" s="7" t="s">
        <v>13</v>
      </c>
    </row>
    <row r="29" spans="1:8" x14ac:dyDescent="0.35">
      <c r="A29" s="7" t="s">
        <v>596</v>
      </c>
      <c r="B29" s="7" t="s">
        <v>226</v>
      </c>
      <c r="C29" s="7" t="s">
        <v>597</v>
      </c>
      <c r="D29" s="7" t="s">
        <v>593</v>
      </c>
      <c r="E29" s="7" t="s">
        <v>598</v>
      </c>
      <c r="F29" s="7" t="s">
        <v>250</v>
      </c>
      <c r="G29" s="7" t="s">
        <v>61</v>
      </c>
      <c r="H29" s="7" t="s">
        <v>13</v>
      </c>
    </row>
    <row r="30" spans="1:8" x14ac:dyDescent="0.35">
      <c r="A30" s="7" t="s">
        <v>599</v>
      </c>
      <c r="B30" s="7" t="s">
        <v>226</v>
      </c>
      <c r="C30" s="7" t="s">
        <v>600</v>
      </c>
      <c r="D30" s="7" t="s">
        <v>262</v>
      </c>
      <c r="E30" s="7" t="s">
        <v>601</v>
      </c>
      <c r="F30" s="7" t="s">
        <v>602</v>
      </c>
      <c r="G30" s="7" t="s">
        <v>42</v>
      </c>
      <c r="H30" s="7" t="s">
        <v>13</v>
      </c>
    </row>
    <row r="31" spans="1:8" x14ac:dyDescent="0.35">
      <c r="A31" s="7" t="s">
        <v>603</v>
      </c>
      <c r="B31" s="7" t="s">
        <v>604</v>
      </c>
      <c r="C31" s="7" t="s">
        <v>605</v>
      </c>
      <c r="D31" s="7" t="s">
        <v>533</v>
      </c>
      <c r="E31" s="7" t="s">
        <v>490</v>
      </c>
      <c r="F31" s="7" t="s">
        <v>606</v>
      </c>
      <c r="G31" s="7" t="s">
        <v>42</v>
      </c>
      <c r="H31" s="7" t="s">
        <v>11</v>
      </c>
    </row>
    <row r="32" spans="1:8" x14ac:dyDescent="0.35">
      <c r="A32" s="7" t="s">
        <v>607</v>
      </c>
      <c r="B32" s="7" t="s">
        <v>604</v>
      </c>
      <c r="C32" s="7" t="s">
        <v>276</v>
      </c>
      <c r="D32" s="7" t="s">
        <v>608</v>
      </c>
      <c r="E32" s="7" t="s">
        <v>609</v>
      </c>
      <c r="F32" s="7" t="s">
        <v>610</v>
      </c>
      <c r="G32" s="7" t="s">
        <v>61</v>
      </c>
      <c r="H32" s="7" t="s">
        <v>13</v>
      </c>
    </row>
    <row r="33" spans="1:8" x14ac:dyDescent="0.35">
      <c r="A33" s="7" t="s">
        <v>611</v>
      </c>
      <c r="B33" s="7" t="s">
        <v>604</v>
      </c>
      <c r="C33" s="7" t="s">
        <v>283</v>
      </c>
      <c r="D33" s="7" t="s">
        <v>608</v>
      </c>
      <c r="E33" s="7" t="s">
        <v>612</v>
      </c>
      <c r="F33" s="7" t="s">
        <v>613</v>
      </c>
      <c r="G33" s="7" t="s">
        <v>61</v>
      </c>
      <c r="H33" s="7" t="s">
        <v>13</v>
      </c>
    </row>
    <row r="34" spans="1:8" x14ac:dyDescent="0.35">
      <c r="A34" s="7" t="s">
        <v>614</v>
      </c>
      <c r="B34" s="7" t="s">
        <v>604</v>
      </c>
      <c r="C34" s="7" t="s">
        <v>289</v>
      </c>
      <c r="D34" s="7" t="s">
        <v>608</v>
      </c>
      <c r="E34" s="7" t="s">
        <v>615</v>
      </c>
      <c r="F34" s="7" t="s">
        <v>616</v>
      </c>
      <c r="G34" s="7" t="s">
        <v>61</v>
      </c>
      <c r="H34" s="7" t="s">
        <v>13</v>
      </c>
    </row>
    <row r="35" spans="1:8" x14ac:dyDescent="0.35">
      <c r="A35" s="7" t="s">
        <v>617</v>
      </c>
      <c r="B35" s="7" t="s">
        <v>618</v>
      </c>
      <c r="C35" s="7" t="s">
        <v>315</v>
      </c>
      <c r="D35" s="7" t="s">
        <v>111</v>
      </c>
      <c r="E35" s="7" t="s">
        <v>619</v>
      </c>
      <c r="F35" s="7" t="s">
        <v>319</v>
      </c>
      <c r="G35" s="7" t="s">
        <v>42</v>
      </c>
      <c r="H35" s="7" t="s">
        <v>13</v>
      </c>
    </row>
    <row r="36" spans="1:8" x14ac:dyDescent="0.35">
      <c r="A36" s="7" t="s">
        <v>620</v>
      </c>
      <c r="B36" s="7" t="s">
        <v>618</v>
      </c>
      <c r="C36" s="7" t="s">
        <v>592</v>
      </c>
      <c r="D36" s="7" t="s">
        <v>621</v>
      </c>
      <c r="E36" s="7" t="s">
        <v>499</v>
      </c>
      <c r="F36" s="7" t="s">
        <v>622</v>
      </c>
      <c r="G36" s="7" t="s">
        <v>42</v>
      </c>
      <c r="H36" s="7" t="s">
        <v>13</v>
      </c>
    </row>
    <row r="37" spans="1:8" x14ac:dyDescent="0.35">
      <c r="A37" s="7" t="s">
        <v>623</v>
      </c>
      <c r="B37" s="7" t="s">
        <v>618</v>
      </c>
      <c r="C37" s="7" t="s">
        <v>624</v>
      </c>
      <c r="D37" s="7" t="s">
        <v>625</v>
      </c>
      <c r="E37" s="7" t="s">
        <v>626</v>
      </c>
      <c r="F37" s="7" t="s">
        <v>627</v>
      </c>
      <c r="G37" s="7" t="s">
        <v>42</v>
      </c>
      <c r="H37" s="7" t="s">
        <v>13</v>
      </c>
    </row>
    <row r="38" spans="1:8" x14ac:dyDescent="0.35">
      <c r="A38" s="7" t="s">
        <v>628</v>
      </c>
      <c r="B38" s="7" t="s">
        <v>332</v>
      </c>
      <c r="C38" s="7" t="s">
        <v>629</v>
      </c>
      <c r="D38" s="7" t="s">
        <v>533</v>
      </c>
      <c r="E38" s="7" t="s">
        <v>490</v>
      </c>
      <c r="F38" s="7" t="s">
        <v>630</v>
      </c>
      <c r="G38" s="7" t="s">
        <v>42</v>
      </c>
      <c r="H38" s="7" t="s">
        <v>11</v>
      </c>
    </row>
    <row r="39" spans="1:8" x14ac:dyDescent="0.35">
      <c r="A39" s="7" t="s">
        <v>631</v>
      </c>
      <c r="B39" s="7" t="s">
        <v>332</v>
      </c>
      <c r="C39" s="7" t="s">
        <v>632</v>
      </c>
      <c r="D39" s="7" t="s">
        <v>633</v>
      </c>
      <c r="E39" s="7" t="s">
        <v>634</v>
      </c>
      <c r="F39" s="7" t="s">
        <v>635</v>
      </c>
      <c r="G39" s="7" t="s">
        <v>61</v>
      </c>
      <c r="H39" s="7" t="s">
        <v>13</v>
      </c>
    </row>
    <row r="40" spans="1:8" x14ac:dyDescent="0.35">
      <c r="A40" s="7" t="s">
        <v>636</v>
      </c>
      <c r="B40" s="7" t="s">
        <v>332</v>
      </c>
      <c r="C40" s="7" t="s">
        <v>637</v>
      </c>
      <c r="D40" s="7" t="s">
        <v>638</v>
      </c>
      <c r="E40" s="7" t="s">
        <v>639</v>
      </c>
      <c r="F40" s="7" t="s">
        <v>640</v>
      </c>
      <c r="G40" s="7" t="s">
        <v>61</v>
      </c>
      <c r="H40" s="7" t="s">
        <v>13</v>
      </c>
    </row>
    <row r="41" spans="1:8" x14ac:dyDescent="0.35">
      <c r="A41" s="7" t="s">
        <v>641</v>
      </c>
      <c r="B41" s="7" t="s">
        <v>332</v>
      </c>
      <c r="C41" s="7" t="s">
        <v>642</v>
      </c>
      <c r="D41" s="7" t="s">
        <v>643</v>
      </c>
      <c r="E41" s="7" t="s">
        <v>644</v>
      </c>
      <c r="F41" s="7" t="s">
        <v>645</v>
      </c>
      <c r="G41" s="7" t="s">
        <v>42</v>
      </c>
      <c r="H41" s="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topLeftCell="A33" zoomScale="55" zoomScaleNormal="55" workbookViewId="0">
      <selection activeCell="O40" activeCellId="1" sqref="O57 O40"/>
    </sheetView>
  </sheetViews>
  <sheetFormatPr defaultRowHeight="14.5" x14ac:dyDescent="0.35"/>
  <cols>
    <col min="1" max="1" width="12" customWidth="1"/>
    <col min="2" max="3" width="22" customWidth="1"/>
    <col min="4" max="4" width="36" customWidth="1"/>
    <col min="5" max="5" width="28" customWidth="1"/>
    <col min="6" max="6" width="18" customWidth="1"/>
    <col min="7" max="7" width="14" customWidth="1"/>
    <col min="8" max="8" width="42" customWidth="1"/>
    <col min="9" max="9" width="34" customWidth="1"/>
    <col min="10" max="11" width="14" customWidth="1"/>
  </cols>
  <sheetData>
    <row r="1" spans="1:12" x14ac:dyDescent="0.3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  <c r="J1" s="6" t="s">
        <v>34</v>
      </c>
      <c r="K1" s="6" t="s">
        <v>35</v>
      </c>
      <c r="L1" s="6" t="s">
        <v>483</v>
      </c>
    </row>
    <row r="2" spans="1:12" ht="29" x14ac:dyDescent="0.35">
      <c r="A2" s="1" t="s">
        <v>36</v>
      </c>
      <c r="B2" s="2" t="s">
        <v>8</v>
      </c>
      <c r="C2" s="2" t="s">
        <v>37</v>
      </c>
      <c r="D2" s="2" t="s">
        <v>38</v>
      </c>
      <c r="E2" s="2" t="s">
        <v>39</v>
      </c>
      <c r="F2" s="2"/>
      <c r="G2" s="2"/>
      <c r="H2" s="2" t="s">
        <v>40</v>
      </c>
      <c r="I2" s="2" t="s">
        <v>41</v>
      </c>
      <c r="J2" s="1" t="s">
        <v>42</v>
      </c>
      <c r="K2" s="1" t="s">
        <v>11</v>
      </c>
      <c r="L2" s="12" t="s">
        <v>740</v>
      </c>
    </row>
    <row r="3" spans="1:12" ht="29" x14ac:dyDescent="0.35">
      <c r="A3" s="1" t="s">
        <v>43</v>
      </c>
      <c r="B3" s="2" t="s">
        <v>8</v>
      </c>
      <c r="C3" s="2" t="s">
        <v>44</v>
      </c>
      <c r="D3" s="2" t="s">
        <v>45</v>
      </c>
      <c r="E3" s="2" t="s">
        <v>46</v>
      </c>
      <c r="F3" s="2"/>
      <c r="G3" s="2"/>
      <c r="H3" s="2" t="s">
        <v>47</v>
      </c>
      <c r="I3" s="2" t="s">
        <v>48</v>
      </c>
      <c r="J3" s="1" t="s">
        <v>42</v>
      </c>
      <c r="K3" s="1" t="s">
        <v>11</v>
      </c>
      <c r="L3" s="12" t="s">
        <v>740</v>
      </c>
    </row>
    <row r="4" spans="1:12" ht="58" x14ac:dyDescent="0.35">
      <c r="A4" s="1" t="s">
        <v>49</v>
      </c>
      <c r="B4" s="2" t="s">
        <v>8</v>
      </c>
      <c r="C4" s="2" t="s">
        <v>44</v>
      </c>
      <c r="D4" s="2" t="s">
        <v>50</v>
      </c>
      <c r="E4" s="2" t="s">
        <v>51</v>
      </c>
      <c r="F4" s="2"/>
      <c r="G4" s="2"/>
      <c r="H4" s="2" t="s">
        <v>52</v>
      </c>
      <c r="I4" s="2" t="s">
        <v>53</v>
      </c>
      <c r="J4" s="1" t="s">
        <v>42</v>
      </c>
      <c r="K4" s="1" t="s">
        <v>11</v>
      </c>
      <c r="L4" s="12" t="s">
        <v>740</v>
      </c>
    </row>
    <row r="5" spans="1:12" ht="43.5" x14ac:dyDescent="0.35">
      <c r="A5" s="1" t="s">
        <v>54</v>
      </c>
      <c r="B5" s="2" t="s">
        <v>8</v>
      </c>
      <c r="C5" s="2" t="s">
        <v>44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60</v>
      </c>
      <c r="J5" s="1" t="s">
        <v>61</v>
      </c>
      <c r="K5" s="1" t="s">
        <v>13</v>
      </c>
      <c r="L5" s="12" t="s">
        <v>740</v>
      </c>
    </row>
    <row r="6" spans="1:12" ht="43.5" x14ac:dyDescent="0.35">
      <c r="A6" s="1" t="s">
        <v>62</v>
      </c>
      <c r="B6" s="2" t="s">
        <v>8</v>
      </c>
      <c r="C6" s="2" t="s">
        <v>44</v>
      </c>
      <c r="D6" s="2" t="s">
        <v>63</v>
      </c>
      <c r="E6" s="2" t="s">
        <v>51</v>
      </c>
      <c r="F6" s="2" t="s">
        <v>57</v>
      </c>
      <c r="G6" s="2" t="s">
        <v>64</v>
      </c>
      <c r="H6" s="2" t="s">
        <v>65</v>
      </c>
      <c r="I6" s="2" t="s">
        <v>66</v>
      </c>
      <c r="J6" s="1" t="s">
        <v>61</v>
      </c>
      <c r="K6" s="1" t="s">
        <v>13</v>
      </c>
      <c r="L6" s="12" t="s">
        <v>740</v>
      </c>
    </row>
    <row r="7" spans="1:12" ht="58" x14ac:dyDescent="0.35">
      <c r="A7" s="1" t="s">
        <v>67</v>
      </c>
      <c r="B7" s="2" t="s">
        <v>8</v>
      </c>
      <c r="C7" s="2" t="s">
        <v>44</v>
      </c>
      <c r="D7" s="2" t="s">
        <v>68</v>
      </c>
      <c r="E7" s="2" t="s">
        <v>51</v>
      </c>
      <c r="F7" s="2" t="s">
        <v>57</v>
      </c>
      <c r="G7" s="2" t="s">
        <v>69</v>
      </c>
      <c r="H7" s="2" t="s">
        <v>70</v>
      </c>
      <c r="I7" s="2" t="s">
        <v>71</v>
      </c>
      <c r="J7" s="1" t="s">
        <v>61</v>
      </c>
      <c r="K7" s="1" t="s">
        <v>13</v>
      </c>
      <c r="L7" s="12" t="s">
        <v>740</v>
      </c>
    </row>
    <row r="8" spans="1:12" ht="58" x14ac:dyDescent="0.35">
      <c r="A8" s="1" t="s">
        <v>72</v>
      </c>
      <c r="B8" s="2" t="s">
        <v>8</v>
      </c>
      <c r="C8" s="2" t="s">
        <v>44</v>
      </c>
      <c r="D8" s="2" t="s">
        <v>73</v>
      </c>
      <c r="E8" s="2" t="s">
        <v>74</v>
      </c>
      <c r="F8" s="2" t="s">
        <v>57</v>
      </c>
      <c r="G8" s="2" t="s">
        <v>75</v>
      </c>
      <c r="H8" s="2" t="s">
        <v>76</v>
      </c>
      <c r="I8" s="2" t="s">
        <v>77</v>
      </c>
      <c r="J8" s="1" t="s">
        <v>61</v>
      </c>
      <c r="K8" s="1" t="s">
        <v>13</v>
      </c>
      <c r="L8" s="12" t="s">
        <v>740</v>
      </c>
    </row>
    <row r="9" spans="1:12" ht="29" x14ac:dyDescent="0.35">
      <c r="A9" s="1" t="s">
        <v>78</v>
      </c>
      <c r="B9" s="2" t="s">
        <v>10</v>
      </c>
      <c r="C9" s="2" t="s">
        <v>79</v>
      </c>
      <c r="D9" s="2" t="s">
        <v>80</v>
      </c>
      <c r="E9" s="2" t="s">
        <v>39</v>
      </c>
      <c r="F9" s="2"/>
      <c r="G9" s="2"/>
      <c r="H9" s="2" t="s">
        <v>81</v>
      </c>
      <c r="I9" s="2" t="s">
        <v>82</v>
      </c>
      <c r="J9" s="1" t="s">
        <v>42</v>
      </c>
      <c r="K9" s="1" t="s">
        <v>11</v>
      </c>
      <c r="L9" s="12" t="s">
        <v>740</v>
      </c>
    </row>
    <row r="10" spans="1:12" ht="43.5" x14ac:dyDescent="0.35">
      <c r="A10" s="1" t="s">
        <v>83</v>
      </c>
      <c r="B10" s="2" t="s">
        <v>10</v>
      </c>
      <c r="C10" s="2" t="s">
        <v>79</v>
      </c>
      <c r="D10" s="2" t="s">
        <v>84</v>
      </c>
      <c r="E10" s="2" t="s">
        <v>46</v>
      </c>
      <c r="F10" s="2" t="s">
        <v>85</v>
      </c>
      <c r="G10" s="2" t="s">
        <v>86</v>
      </c>
      <c r="H10" s="2" t="s">
        <v>87</v>
      </c>
      <c r="I10" s="2" t="s">
        <v>88</v>
      </c>
      <c r="J10" s="1" t="s">
        <v>42</v>
      </c>
      <c r="K10" s="1" t="s">
        <v>11</v>
      </c>
      <c r="L10" s="12" t="s">
        <v>740</v>
      </c>
    </row>
    <row r="11" spans="1:12" ht="58" x14ac:dyDescent="0.35">
      <c r="A11" s="1" t="s">
        <v>89</v>
      </c>
      <c r="B11" s="2" t="s">
        <v>10</v>
      </c>
      <c r="C11" s="2" t="s">
        <v>79</v>
      </c>
      <c r="D11" s="2" t="s">
        <v>90</v>
      </c>
      <c r="E11" s="2" t="s">
        <v>91</v>
      </c>
      <c r="F11" s="2" t="s">
        <v>85</v>
      </c>
      <c r="G11" s="2" t="s">
        <v>86</v>
      </c>
      <c r="H11" s="2" t="s">
        <v>92</v>
      </c>
      <c r="I11" s="2" t="s">
        <v>93</v>
      </c>
      <c r="J11" s="1" t="s">
        <v>61</v>
      </c>
      <c r="K11" s="1" t="s">
        <v>9</v>
      </c>
      <c r="L11" s="12" t="s">
        <v>740</v>
      </c>
    </row>
    <row r="12" spans="1:12" ht="58" x14ac:dyDescent="0.35">
      <c r="A12" s="1" t="s">
        <v>94</v>
      </c>
      <c r="B12" s="2" t="s">
        <v>10</v>
      </c>
      <c r="C12" s="2" t="s">
        <v>79</v>
      </c>
      <c r="D12" s="2" t="s">
        <v>95</v>
      </c>
      <c r="E12" s="2" t="s">
        <v>46</v>
      </c>
      <c r="F12" s="2" t="s">
        <v>85</v>
      </c>
      <c r="G12" s="2" t="s">
        <v>96</v>
      </c>
      <c r="H12" s="2" t="s">
        <v>97</v>
      </c>
      <c r="I12" s="2" t="s">
        <v>98</v>
      </c>
      <c r="J12" s="1" t="s">
        <v>61</v>
      </c>
      <c r="K12" s="1" t="s">
        <v>13</v>
      </c>
      <c r="L12" s="12" t="s">
        <v>740</v>
      </c>
    </row>
    <row r="13" spans="1:12" ht="58" x14ac:dyDescent="0.35">
      <c r="A13" s="1" t="s">
        <v>99</v>
      </c>
      <c r="B13" s="2" t="s">
        <v>10</v>
      </c>
      <c r="C13" s="2" t="s">
        <v>79</v>
      </c>
      <c r="D13" s="2" t="s">
        <v>100</v>
      </c>
      <c r="E13" s="2" t="s">
        <v>46</v>
      </c>
      <c r="F13" s="2" t="s">
        <v>85</v>
      </c>
      <c r="G13" s="2" t="s">
        <v>101</v>
      </c>
      <c r="H13" s="2" t="s">
        <v>102</v>
      </c>
      <c r="I13" s="2" t="s">
        <v>98</v>
      </c>
      <c r="J13" s="1" t="s">
        <v>61</v>
      </c>
      <c r="K13" s="1" t="s">
        <v>13</v>
      </c>
      <c r="L13" s="12" t="s">
        <v>740</v>
      </c>
    </row>
    <row r="14" spans="1:12" ht="43.5" x14ac:dyDescent="0.35">
      <c r="A14" s="1" t="s">
        <v>103</v>
      </c>
      <c r="B14" s="2" t="s">
        <v>10</v>
      </c>
      <c r="C14" s="2" t="s">
        <v>79</v>
      </c>
      <c r="D14" s="2" t="s">
        <v>104</v>
      </c>
      <c r="E14" s="2" t="s">
        <v>46</v>
      </c>
      <c r="F14" s="2" t="s">
        <v>85</v>
      </c>
      <c r="G14" s="2" t="s">
        <v>105</v>
      </c>
      <c r="H14" s="2" t="s">
        <v>106</v>
      </c>
      <c r="I14" s="2" t="s">
        <v>107</v>
      </c>
      <c r="J14" s="1" t="s">
        <v>61</v>
      </c>
      <c r="K14" s="1" t="s">
        <v>13</v>
      </c>
      <c r="L14" s="12" t="s">
        <v>740</v>
      </c>
    </row>
    <row r="15" spans="1:12" ht="29" x14ac:dyDescent="0.35">
      <c r="A15" s="1" t="s">
        <v>108</v>
      </c>
      <c r="B15" s="2" t="s">
        <v>10</v>
      </c>
      <c r="C15" s="2" t="s">
        <v>109</v>
      </c>
      <c r="D15" s="2" t="s">
        <v>110</v>
      </c>
      <c r="E15" s="2" t="s">
        <v>111</v>
      </c>
      <c r="F15" s="2"/>
      <c r="G15" s="2"/>
      <c r="H15" s="2" t="s">
        <v>112</v>
      </c>
      <c r="I15" s="2" t="s">
        <v>113</v>
      </c>
      <c r="J15" s="1" t="s">
        <v>61</v>
      </c>
      <c r="K15" s="1" t="s">
        <v>9</v>
      </c>
      <c r="L15" s="12" t="s">
        <v>740</v>
      </c>
    </row>
    <row r="16" spans="1:12" ht="58" x14ac:dyDescent="0.35">
      <c r="A16" s="1" t="s">
        <v>114</v>
      </c>
      <c r="B16" s="2" t="s">
        <v>10</v>
      </c>
      <c r="C16" s="2" t="s">
        <v>115</v>
      </c>
      <c r="D16" s="2" t="s">
        <v>116</v>
      </c>
      <c r="E16" s="2" t="s">
        <v>117</v>
      </c>
      <c r="F16" s="2"/>
      <c r="G16" s="2"/>
      <c r="H16" s="2" t="s">
        <v>118</v>
      </c>
      <c r="I16" s="2" t="s">
        <v>119</v>
      </c>
      <c r="J16" s="1" t="s">
        <v>61</v>
      </c>
      <c r="K16" s="1" t="s">
        <v>13</v>
      </c>
      <c r="L16" s="12" t="s">
        <v>740</v>
      </c>
    </row>
    <row r="17" spans="1:12" ht="29" x14ac:dyDescent="0.35">
      <c r="A17" s="1" t="s">
        <v>120</v>
      </c>
      <c r="B17" s="2" t="s">
        <v>12</v>
      </c>
      <c r="C17" s="2" t="s">
        <v>121</v>
      </c>
      <c r="D17" s="2" t="s">
        <v>122</v>
      </c>
      <c r="E17" s="2" t="s">
        <v>111</v>
      </c>
      <c r="F17" s="2"/>
      <c r="G17" s="2"/>
      <c r="H17" s="2" t="s">
        <v>123</v>
      </c>
      <c r="I17" s="2" t="s">
        <v>124</v>
      </c>
      <c r="J17" s="1" t="s">
        <v>42</v>
      </c>
      <c r="K17" s="1" t="s">
        <v>11</v>
      </c>
      <c r="L17" s="12" t="s">
        <v>740</v>
      </c>
    </row>
    <row r="18" spans="1:12" ht="29" x14ac:dyDescent="0.35">
      <c r="A18" s="1" t="s">
        <v>125</v>
      </c>
      <c r="B18" s="2" t="s">
        <v>12</v>
      </c>
      <c r="C18" s="2" t="s">
        <v>121</v>
      </c>
      <c r="D18" s="2" t="s">
        <v>126</v>
      </c>
      <c r="E18" s="2" t="s">
        <v>111</v>
      </c>
      <c r="F18" s="2"/>
      <c r="G18" s="2"/>
      <c r="H18" s="2" t="s">
        <v>127</v>
      </c>
      <c r="I18" s="2" t="s">
        <v>128</v>
      </c>
      <c r="J18" s="1" t="s">
        <v>61</v>
      </c>
      <c r="K18" s="1" t="s">
        <v>13</v>
      </c>
      <c r="L18" s="12" t="s">
        <v>740</v>
      </c>
    </row>
    <row r="19" spans="1:12" ht="43.5" x14ac:dyDescent="0.35">
      <c r="A19" s="1" t="s">
        <v>129</v>
      </c>
      <c r="B19" s="2" t="s">
        <v>12</v>
      </c>
      <c r="C19" s="2" t="s">
        <v>121</v>
      </c>
      <c r="D19" s="2" t="s">
        <v>130</v>
      </c>
      <c r="E19" s="2" t="s">
        <v>131</v>
      </c>
      <c r="F19" s="2"/>
      <c r="G19" s="2"/>
      <c r="H19" s="2" t="s">
        <v>132</v>
      </c>
      <c r="I19" s="2" t="s">
        <v>133</v>
      </c>
      <c r="J19" s="1" t="s">
        <v>42</v>
      </c>
      <c r="K19" s="1" t="s">
        <v>13</v>
      </c>
      <c r="L19" s="12" t="s">
        <v>741</v>
      </c>
    </row>
    <row r="20" spans="1:12" ht="43.5" x14ac:dyDescent="0.35">
      <c r="A20" s="1" t="s">
        <v>134</v>
      </c>
      <c r="B20" s="2" t="s">
        <v>12</v>
      </c>
      <c r="C20" s="2" t="s">
        <v>121</v>
      </c>
      <c r="D20" s="2" t="s">
        <v>135</v>
      </c>
      <c r="E20" s="2" t="s">
        <v>136</v>
      </c>
      <c r="F20" s="2"/>
      <c r="G20" s="2"/>
      <c r="H20" s="2" t="s">
        <v>137</v>
      </c>
      <c r="I20" s="2" t="s">
        <v>138</v>
      </c>
      <c r="J20" s="1" t="s">
        <v>42</v>
      </c>
      <c r="K20" s="1" t="s">
        <v>11</v>
      </c>
      <c r="L20" s="12" t="s">
        <v>740</v>
      </c>
    </row>
    <row r="21" spans="1:12" ht="43.5" x14ac:dyDescent="0.35">
      <c r="A21" s="1" t="s">
        <v>139</v>
      </c>
      <c r="B21" s="2" t="s">
        <v>12</v>
      </c>
      <c r="C21" s="2" t="s">
        <v>121</v>
      </c>
      <c r="D21" s="2" t="s">
        <v>140</v>
      </c>
      <c r="E21" s="2" t="s">
        <v>141</v>
      </c>
      <c r="F21" s="2"/>
      <c r="G21" s="2"/>
      <c r="H21" s="2" t="s">
        <v>142</v>
      </c>
      <c r="I21" s="2" t="s">
        <v>143</v>
      </c>
      <c r="J21" s="1" t="s">
        <v>42</v>
      </c>
      <c r="K21" s="1" t="s">
        <v>13</v>
      </c>
      <c r="L21" s="12" t="s">
        <v>740</v>
      </c>
    </row>
    <row r="22" spans="1:12" ht="29" x14ac:dyDescent="0.35">
      <c r="A22" s="1" t="s">
        <v>144</v>
      </c>
      <c r="B22" s="2" t="s">
        <v>12</v>
      </c>
      <c r="C22" s="2" t="s">
        <v>121</v>
      </c>
      <c r="D22" s="2" t="s">
        <v>145</v>
      </c>
      <c r="E22" s="2" t="s">
        <v>146</v>
      </c>
      <c r="F22" s="2"/>
      <c r="G22" s="2"/>
      <c r="H22" s="2" t="s">
        <v>147</v>
      </c>
      <c r="I22" s="2" t="s">
        <v>148</v>
      </c>
      <c r="J22" s="1" t="s">
        <v>42</v>
      </c>
      <c r="K22" s="1" t="s">
        <v>11</v>
      </c>
      <c r="L22" s="12" t="s">
        <v>740</v>
      </c>
    </row>
    <row r="23" spans="1:12" ht="29" x14ac:dyDescent="0.35">
      <c r="A23" s="1" t="s">
        <v>149</v>
      </c>
      <c r="B23" s="2" t="s">
        <v>14</v>
      </c>
      <c r="C23" s="2" t="s">
        <v>150</v>
      </c>
      <c r="D23" s="2" t="s">
        <v>151</v>
      </c>
      <c r="E23" s="2" t="s">
        <v>111</v>
      </c>
      <c r="F23" s="2"/>
      <c r="G23" s="2"/>
      <c r="H23" s="2" t="s">
        <v>152</v>
      </c>
      <c r="I23" s="2" t="s">
        <v>153</v>
      </c>
      <c r="J23" s="1" t="s">
        <v>42</v>
      </c>
      <c r="K23" s="1" t="s">
        <v>11</v>
      </c>
      <c r="L23" s="12" t="s">
        <v>740</v>
      </c>
    </row>
    <row r="24" spans="1:12" ht="72.5" x14ac:dyDescent="0.35">
      <c r="A24" s="1" t="s">
        <v>154</v>
      </c>
      <c r="B24" s="2" t="s">
        <v>14</v>
      </c>
      <c r="C24" s="2" t="s">
        <v>150</v>
      </c>
      <c r="D24" s="2" t="s">
        <v>155</v>
      </c>
      <c r="E24" s="2" t="s">
        <v>156</v>
      </c>
      <c r="F24" s="2" t="s">
        <v>157</v>
      </c>
      <c r="G24" s="2" t="s">
        <v>158</v>
      </c>
      <c r="H24" s="2" t="s">
        <v>159</v>
      </c>
      <c r="I24" s="2" t="s">
        <v>160</v>
      </c>
      <c r="J24" s="1" t="s">
        <v>61</v>
      </c>
      <c r="K24" s="1" t="s">
        <v>13</v>
      </c>
      <c r="L24" s="12" t="s">
        <v>740</v>
      </c>
    </row>
    <row r="25" spans="1:12" ht="72.5" x14ac:dyDescent="0.35">
      <c r="A25" s="1" t="s">
        <v>161</v>
      </c>
      <c r="B25" s="2" t="s">
        <v>14</v>
      </c>
      <c r="C25" s="2" t="s">
        <v>150</v>
      </c>
      <c r="D25" s="2" t="s">
        <v>162</v>
      </c>
      <c r="E25" s="2" t="s">
        <v>156</v>
      </c>
      <c r="F25" s="2" t="s">
        <v>157</v>
      </c>
      <c r="G25" s="2" t="s">
        <v>163</v>
      </c>
      <c r="H25" s="2" t="s">
        <v>164</v>
      </c>
      <c r="I25" s="2" t="s">
        <v>165</v>
      </c>
      <c r="J25" s="1" t="s">
        <v>61</v>
      </c>
      <c r="K25" s="1" t="s">
        <v>13</v>
      </c>
      <c r="L25" s="12" t="s">
        <v>740</v>
      </c>
    </row>
    <row r="26" spans="1:12" ht="29" x14ac:dyDescent="0.35">
      <c r="A26" s="1" t="s">
        <v>166</v>
      </c>
      <c r="B26" s="2" t="s">
        <v>14</v>
      </c>
      <c r="C26" s="2" t="s">
        <v>150</v>
      </c>
      <c r="D26" s="2" t="s">
        <v>167</v>
      </c>
      <c r="E26" s="2" t="s">
        <v>168</v>
      </c>
      <c r="F26" s="2" t="s">
        <v>157</v>
      </c>
      <c r="G26" s="2" t="s">
        <v>158</v>
      </c>
      <c r="H26" s="2" t="s">
        <v>169</v>
      </c>
      <c r="I26" s="2" t="s">
        <v>170</v>
      </c>
      <c r="J26" s="1" t="s">
        <v>61</v>
      </c>
      <c r="K26" s="1" t="s">
        <v>13</v>
      </c>
      <c r="L26" s="12" t="s">
        <v>741</v>
      </c>
    </row>
    <row r="27" spans="1:12" ht="43.5" x14ac:dyDescent="0.35">
      <c r="A27" s="1" t="s">
        <v>171</v>
      </c>
      <c r="B27" s="2" t="s">
        <v>14</v>
      </c>
      <c r="C27" s="2" t="s">
        <v>150</v>
      </c>
      <c r="D27" s="2" t="s">
        <v>172</v>
      </c>
      <c r="E27" s="2" t="s">
        <v>168</v>
      </c>
      <c r="F27" s="2" t="s">
        <v>157</v>
      </c>
      <c r="G27" s="2" t="s">
        <v>158</v>
      </c>
      <c r="H27" s="2" t="s">
        <v>173</v>
      </c>
      <c r="I27" s="2" t="s">
        <v>174</v>
      </c>
      <c r="J27" s="1" t="s">
        <v>42</v>
      </c>
      <c r="K27" s="1" t="s">
        <v>13</v>
      </c>
      <c r="L27" s="12" t="s">
        <v>741</v>
      </c>
    </row>
    <row r="28" spans="1:12" ht="29" x14ac:dyDescent="0.35">
      <c r="A28" s="1" t="s">
        <v>175</v>
      </c>
      <c r="B28" s="2" t="s">
        <v>16</v>
      </c>
      <c r="C28" s="2" t="s">
        <v>176</v>
      </c>
      <c r="D28" s="2" t="s">
        <v>177</v>
      </c>
      <c r="E28" s="2" t="s">
        <v>178</v>
      </c>
      <c r="F28" s="2"/>
      <c r="G28" s="2"/>
      <c r="H28" s="2" t="s">
        <v>179</v>
      </c>
      <c r="I28" s="2" t="s">
        <v>180</v>
      </c>
      <c r="J28" s="1" t="s">
        <v>42</v>
      </c>
      <c r="K28" s="1" t="s">
        <v>11</v>
      </c>
      <c r="L28" s="12" t="s">
        <v>740</v>
      </c>
    </row>
    <row r="29" spans="1:12" ht="43.5" x14ac:dyDescent="0.35">
      <c r="A29" s="1" t="s">
        <v>181</v>
      </c>
      <c r="B29" s="2" t="s">
        <v>16</v>
      </c>
      <c r="C29" s="2" t="s">
        <v>176</v>
      </c>
      <c r="D29" s="2" t="s">
        <v>182</v>
      </c>
      <c r="E29" s="2" t="s">
        <v>183</v>
      </c>
      <c r="F29" s="2"/>
      <c r="G29" s="2"/>
      <c r="H29" s="2" t="s">
        <v>184</v>
      </c>
      <c r="I29" s="2" t="s">
        <v>185</v>
      </c>
      <c r="J29" s="1" t="s">
        <v>42</v>
      </c>
      <c r="K29" s="1" t="s">
        <v>11</v>
      </c>
      <c r="L29" s="12" t="s">
        <v>740</v>
      </c>
    </row>
    <row r="30" spans="1:12" ht="87" x14ac:dyDescent="0.35">
      <c r="A30" s="1" t="s">
        <v>186</v>
      </c>
      <c r="B30" s="2" t="s">
        <v>16</v>
      </c>
      <c r="C30" s="2" t="s">
        <v>176</v>
      </c>
      <c r="D30" s="2" t="s">
        <v>187</v>
      </c>
      <c r="E30" s="2" t="s">
        <v>188</v>
      </c>
      <c r="F30" s="2" t="s">
        <v>189</v>
      </c>
      <c r="G30" s="2" t="s">
        <v>190</v>
      </c>
      <c r="H30" s="2" t="s">
        <v>191</v>
      </c>
      <c r="I30" s="2" t="s">
        <v>192</v>
      </c>
      <c r="J30" s="1" t="s">
        <v>61</v>
      </c>
      <c r="K30" s="1" t="s">
        <v>9</v>
      </c>
      <c r="L30" s="12" t="s">
        <v>740</v>
      </c>
    </row>
    <row r="31" spans="1:12" ht="72.5" x14ac:dyDescent="0.35">
      <c r="A31" s="1" t="s">
        <v>193</v>
      </c>
      <c r="B31" s="2" t="s">
        <v>16</v>
      </c>
      <c r="C31" s="2" t="s">
        <v>176</v>
      </c>
      <c r="D31" s="2" t="s">
        <v>194</v>
      </c>
      <c r="E31" s="2" t="s">
        <v>188</v>
      </c>
      <c r="F31" s="2" t="s">
        <v>189</v>
      </c>
      <c r="G31" s="2" t="s">
        <v>195</v>
      </c>
      <c r="H31" s="2" t="s">
        <v>196</v>
      </c>
      <c r="I31" s="2" t="s">
        <v>197</v>
      </c>
      <c r="J31" s="1" t="s">
        <v>61</v>
      </c>
      <c r="K31" s="1" t="s">
        <v>13</v>
      </c>
      <c r="L31" s="12" t="s">
        <v>740</v>
      </c>
    </row>
    <row r="32" spans="1:12" ht="72.5" x14ac:dyDescent="0.35">
      <c r="A32" s="1" t="s">
        <v>198</v>
      </c>
      <c r="B32" s="2" t="s">
        <v>16</v>
      </c>
      <c r="C32" s="2" t="s">
        <v>176</v>
      </c>
      <c r="D32" s="2" t="s">
        <v>199</v>
      </c>
      <c r="E32" s="2" t="s">
        <v>183</v>
      </c>
      <c r="F32" s="2" t="s">
        <v>189</v>
      </c>
      <c r="G32" s="2" t="s">
        <v>200</v>
      </c>
      <c r="H32" s="2" t="s">
        <v>201</v>
      </c>
      <c r="I32" s="2" t="s">
        <v>202</v>
      </c>
      <c r="J32" s="1" t="s">
        <v>61</v>
      </c>
      <c r="K32" s="1" t="s">
        <v>13</v>
      </c>
      <c r="L32" s="12" t="s">
        <v>741</v>
      </c>
    </row>
    <row r="33" spans="1:12" ht="58" x14ac:dyDescent="0.35">
      <c r="A33" s="1" t="s">
        <v>203</v>
      </c>
      <c r="B33" s="2" t="s">
        <v>16</v>
      </c>
      <c r="C33" s="2" t="s">
        <v>176</v>
      </c>
      <c r="D33" s="2" t="s">
        <v>204</v>
      </c>
      <c r="E33" s="2" t="s">
        <v>183</v>
      </c>
      <c r="F33" s="2" t="s">
        <v>189</v>
      </c>
      <c r="G33" s="2" t="s">
        <v>205</v>
      </c>
      <c r="H33" s="2" t="s">
        <v>206</v>
      </c>
      <c r="I33" s="2" t="s">
        <v>202</v>
      </c>
      <c r="J33" s="1" t="s">
        <v>61</v>
      </c>
      <c r="K33" s="1" t="s">
        <v>13</v>
      </c>
      <c r="L33" s="12" t="s">
        <v>741</v>
      </c>
    </row>
    <row r="34" spans="1:12" ht="58" x14ac:dyDescent="0.35">
      <c r="A34" s="1" t="s">
        <v>207</v>
      </c>
      <c r="B34" s="2" t="s">
        <v>16</v>
      </c>
      <c r="C34" s="2" t="s">
        <v>176</v>
      </c>
      <c r="D34" s="2" t="s">
        <v>208</v>
      </c>
      <c r="E34" s="2" t="s">
        <v>183</v>
      </c>
      <c r="F34" s="2" t="s">
        <v>189</v>
      </c>
      <c r="G34" s="2" t="s">
        <v>209</v>
      </c>
      <c r="H34" s="2" t="s">
        <v>210</v>
      </c>
      <c r="I34" s="2" t="s">
        <v>202</v>
      </c>
      <c r="J34" s="1" t="s">
        <v>61</v>
      </c>
      <c r="K34" s="1" t="s">
        <v>13</v>
      </c>
      <c r="L34" s="12" t="s">
        <v>741</v>
      </c>
    </row>
    <row r="35" spans="1:12" ht="58" x14ac:dyDescent="0.35">
      <c r="A35" s="1" t="s">
        <v>211</v>
      </c>
      <c r="B35" s="2" t="s">
        <v>16</v>
      </c>
      <c r="C35" s="2" t="s">
        <v>176</v>
      </c>
      <c r="D35" s="2" t="s">
        <v>212</v>
      </c>
      <c r="E35" s="2" t="s">
        <v>183</v>
      </c>
      <c r="F35" s="2" t="s">
        <v>189</v>
      </c>
      <c r="G35" s="2" t="s">
        <v>213</v>
      </c>
      <c r="H35" s="2" t="s">
        <v>214</v>
      </c>
      <c r="I35" s="2" t="s">
        <v>215</v>
      </c>
      <c r="J35" s="1" t="s">
        <v>42</v>
      </c>
      <c r="K35" s="1" t="s">
        <v>13</v>
      </c>
      <c r="L35" s="12" t="s">
        <v>741</v>
      </c>
    </row>
    <row r="36" spans="1:12" ht="29" x14ac:dyDescent="0.35">
      <c r="A36" s="1" t="s">
        <v>216</v>
      </c>
      <c r="B36" s="2" t="s">
        <v>16</v>
      </c>
      <c r="C36" s="2" t="s">
        <v>176</v>
      </c>
      <c r="D36" s="2" t="s">
        <v>217</v>
      </c>
      <c r="E36" s="2" t="s">
        <v>218</v>
      </c>
      <c r="F36" s="2" t="s">
        <v>189</v>
      </c>
      <c r="G36" s="2" t="s">
        <v>190</v>
      </c>
      <c r="H36" s="2" t="s">
        <v>219</v>
      </c>
      <c r="I36" s="2" t="s">
        <v>220</v>
      </c>
      <c r="J36" s="1" t="s">
        <v>42</v>
      </c>
      <c r="K36" s="1" t="s">
        <v>13</v>
      </c>
      <c r="L36" s="12" t="s">
        <v>740</v>
      </c>
    </row>
    <row r="37" spans="1:12" ht="29" x14ac:dyDescent="0.35">
      <c r="A37" s="1" t="s">
        <v>221</v>
      </c>
      <c r="B37" s="2" t="s">
        <v>16</v>
      </c>
      <c r="C37" s="2" t="s">
        <v>176</v>
      </c>
      <c r="D37" s="2" t="s">
        <v>222</v>
      </c>
      <c r="E37" s="2" t="s">
        <v>218</v>
      </c>
      <c r="F37" s="2" t="s">
        <v>189</v>
      </c>
      <c r="G37" s="2" t="s">
        <v>190</v>
      </c>
      <c r="H37" s="2" t="s">
        <v>223</v>
      </c>
      <c r="I37" s="2" t="s">
        <v>224</v>
      </c>
      <c r="J37" s="1" t="s">
        <v>42</v>
      </c>
      <c r="K37" s="1" t="s">
        <v>13</v>
      </c>
    </row>
    <row r="38" spans="1:12" ht="29" x14ac:dyDescent="0.35">
      <c r="A38" s="1" t="s">
        <v>225</v>
      </c>
      <c r="B38" s="2" t="s">
        <v>18</v>
      </c>
      <c r="C38" s="2" t="s">
        <v>226</v>
      </c>
      <c r="D38" s="2" t="s">
        <v>227</v>
      </c>
      <c r="E38" s="2" t="s">
        <v>111</v>
      </c>
      <c r="F38" s="2"/>
      <c r="G38" s="2"/>
      <c r="H38" s="2" t="s">
        <v>228</v>
      </c>
      <c r="I38" s="2" t="s">
        <v>229</v>
      </c>
      <c r="J38" s="1" t="s">
        <v>42</v>
      </c>
      <c r="K38" s="1" t="s">
        <v>11</v>
      </c>
      <c r="L38" s="12" t="s">
        <v>740</v>
      </c>
    </row>
    <row r="39" spans="1:12" ht="43.5" x14ac:dyDescent="0.35">
      <c r="A39" s="1" t="s">
        <v>230</v>
      </c>
      <c r="B39" s="2" t="s">
        <v>18</v>
      </c>
      <c r="C39" s="2" t="s">
        <v>226</v>
      </c>
      <c r="D39" s="2" t="s">
        <v>231</v>
      </c>
      <c r="E39" s="2" t="s">
        <v>232</v>
      </c>
      <c r="F39" s="2"/>
      <c r="G39" s="2"/>
      <c r="H39" s="2" t="s">
        <v>233</v>
      </c>
      <c r="I39" s="2" t="s">
        <v>234</v>
      </c>
      <c r="J39" s="1" t="s">
        <v>42</v>
      </c>
      <c r="K39" s="1" t="s">
        <v>11</v>
      </c>
      <c r="L39" s="12" t="s">
        <v>740</v>
      </c>
    </row>
    <row r="40" spans="1:12" ht="58" x14ac:dyDescent="0.35">
      <c r="A40" s="1" t="s">
        <v>235</v>
      </c>
      <c r="B40" s="2" t="s">
        <v>18</v>
      </c>
      <c r="C40" s="2" t="s">
        <v>226</v>
      </c>
      <c r="D40" s="2" t="s">
        <v>236</v>
      </c>
      <c r="E40" s="2" t="s">
        <v>131</v>
      </c>
      <c r="F40" s="2" t="s">
        <v>237</v>
      </c>
      <c r="G40" s="2" t="s">
        <v>238</v>
      </c>
      <c r="H40" s="2" t="s">
        <v>239</v>
      </c>
      <c r="I40" s="2" t="s">
        <v>240</v>
      </c>
      <c r="J40" s="1" t="s">
        <v>61</v>
      </c>
      <c r="K40" s="1" t="s">
        <v>13</v>
      </c>
      <c r="L40" s="12" t="s">
        <v>740</v>
      </c>
    </row>
    <row r="41" spans="1:12" ht="43.5" x14ac:dyDescent="0.35">
      <c r="A41" s="1" t="s">
        <v>241</v>
      </c>
      <c r="B41" s="2" t="s">
        <v>18</v>
      </c>
      <c r="C41" s="2" t="s">
        <v>226</v>
      </c>
      <c r="D41" s="2" t="s">
        <v>242</v>
      </c>
      <c r="E41" s="2" t="s">
        <v>232</v>
      </c>
      <c r="F41" s="2" t="s">
        <v>237</v>
      </c>
      <c r="G41" s="2" t="s">
        <v>243</v>
      </c>
      <c r="H41" s="2" t="s">
        <v>244</v>
      </c>
      <c r="I41" s="2" t="s">
        <v>245</v>
      </c>
      <c r="J41" s="1" t="s">
        <v>61</v>
      </c>
      <c r="K41" s="1" t="s">
        <v>13</v>
      </c>
      <c r="L41" s="12" t="s">
        <v>740</v>
      </c>
    </row>
    <row r="42" spans="1:12" ht="58" x14ac:dyDescent="0.35">
      <c r="A42" s="1" t="s">
        <v>246</v>
      </c>
      <c r="B42" s="2" t="s">
        <v>18</v>
      </c>
      <c r="C42" s="2" t="s">
        <v>226</v>
      </c>
      <c r="D42" s="2" t="s">
        <v>247</v>
      </c>
      <c r="E42" s="2" t="s">
        <v>232</v>
      </c>
      <c r="F42" s="2" t="s">
        <v>237</v>
      </c>
      <c r="G42" s="2" t="s">
        <v>248</v>
      </c>
      <c r="H42" s="2" t="s">
        <v>249</v>
      </c>
      <c r="I42" s="2" t="s">
        <v>250</v>
      </c>
      <c r="J42" s="1" t="s">
        <v>61</v>
      </c>
      <c r="K42" s="1" t="s">
        <v>13</v>
      </c>
      <c r="L42" s="12" t="s">
        <v>740</v>
      </c>
    </row>
    <row r="43" spans="1:12" ht="58" x14ac:dyDescent="0.35">
      <c r="A43" s="1" t="s">
        <v>251</v>
      </c>
      <c r="B43" s="2" t="s">
        <v>18</v>
      </c>
      <c r="C43" s="2" t="s">
        <v>226</v>
      </c>
      <c r="D43" s="2" t="s">
        <v>252</v>
      </c>
      <c r="E43" s="2" t="s">
        <v>232</v>
      </c>
      <c r="F43" s="2" t="s">
        <v>237</v>
      </c>
      <c r="G43" s="2" t="s">
        <v>253</v>
      </c>
      <c r="H43" s="2" t="s">
        <v>254</v>
      </c>
      <c r="I43" s="2" t="s">
        <v>255</v>
      </c>
      <c r="J43" s="1" t="s">
        <v>61</v>
      </c>
      <c r="K43" s="1" t="s">
        <v>13</v>
      </c>
      <c r="L43" s="12" t="s">
        <v>740</v>
      </c>
    </row>
    <row r="44" spans="1:12" ht="58" x14ac:dyDescent="0.35">
      <c r="A44" s="1" t="s">
        <v>256</v>
      </c>
      <c r="B44" s="2" t="s">
        <v>18</v>
      </c>
      <c r="C44" s="2" t="s">
        <v>226</v>
      </c>
      <c r="D44" s="2" t="s">
        <v>257</v>
      </c>
      <c r="E44" s="2" t="s">
        <v>232</v>
      </c>
      <c r="F44" s="2" t="s">
        <v>237</v>
      </c>
      <c r="G44" s="2" t="s">
        <v>258</v>
      </c>
      <c r="H44" s="2" t="s">
        <v>259</v>
      </c>
      <c r="I44" s="2" t="s">
        <v>255</v>
      </c>
      <c r="J44" s="1" t="s">
        <v>61</v>
      </c>
      <c r="K44" s="1" t="s">
        <v>13</v>
      </c>
      <c r="L44" s="12" t="s">
        <v>741</v>
      </c>
    </row>
    <row r="45" spans="1:12" ht="29" x14ac:dyDescent="0.35">
      <c r="A45" s="1" t="s">
        <v>260</v>
      </c>
      <c r="B45" s="2" t="s">
        <v>18</v>
      </c>
      <c r="C45" s="2" t="s">
        <v>226</v>
      </c>
      <c r="D45" s="2" t="s">
        <v>261</v>
      </c>
      <c r="E45" s="2" t="s">
        <v>262</v>
      </c>
      <c r="F45" s="2" t="s">
        <v>237</v>
      </c>
      <c r="G45" s="2" t="s">
        <v>238</v>
      </c>
      <c r="H45" s="2" t="s">
        <v>263</v>
      </c>
      <c r="I45" s="2" t="s">
        <v>264</v>
      </c>
      <c r="J45" s="1" t="s">
        <v>42</v>
      </c>
      <c r="K45" s="1" t="s">
        <v>13</v>
      </c>
      <c r="L45" s="12" t="s">
        <v>740</v>
      </c>
    </row>
    <row r="46" spans="1:12" ht="29" x14ac:dyDescent="0.35">
      <c r="A46" s="1" t="s">
        <v>265</v>
      </c>
      <c r="B46" s="2" t="s">
        <v>20</v>
      </c>
      <c r="C46" s="2" t="s">
        <v>266</v>
      </c>
      <c r="D46" s="2" t="s">
        <v>267</v>
      </c>
      <c r="E46" s="2" t="s">
        <v>131</v>
      </c>
      <c r="F46" s="2"/>
      <c r="G46" s="2"/>
      <c r="H46" s="2" t="s">
        <v>268</v>
      </c>
      <c r="I46" s="2" t="s">
        <v>269</v>
      </c>
      <c r="J46" s="1" t="s">
        <v>42</v>
      </c>
      <c r="K46" s="1" t="s">
        <v>11</v>
      </c>
      <c r="L46" s="12" t="s">
        <v>740</v>
      </c>
    </row>
    <row r="47" spans="1:12" ht="29" x14ac:dyDescent="0.35">
      <c r="A47" s="1" t="s">
        <v>270</v>
      </c>
      <c r="B47" s="2" t="s">
        <v>20</v>
      </c>
      <c r="C47" s="2" t="s">
        <v>266</v>
      </c>
      <c r="D47" s="2" t="s">
        <v>271</v>
      </c>
      <c r="E47" s="2" t="s">
        <v>272</v>
      </c>
      <c r="F47" s="2"/>
      <c r="G47" s="2"/>
      <c r="H47" s="2" t="s">
        <v>273</v>
      </c>
      <c r="I47" s="2" t="s">
        <v>274</v>
      </c>
      <c r="J47" s="1" t="s">
        <v>42</v>
      </c>
      <c r="K47" s="1" t="s">
        <v>11</v>
      </c>
      <c r="L47" s="12" t="s">
        <v>740</v>
      </c>
    </row>
    <row r="48" spans="1:12" ht="58" x14ac:dyDescent="0.35">
      <c r="A48" s="1" t="s">
        <v>275</v>
      </c>
      <c r="B48" s="2" t="s">
        <v>20</v>
      </c>
      <c r="C48" s="2" t="s">
        <v>266</v>
      </c>
      <c r="D48" s="2" t="s">
        <v>276</v>
      </c>
      <c r="E48" s="2" t="s">
        <v>277</v>
      </c>
      <c r="F48" s="2" t="s">
        <v>278</v>
      </c>
      <c r="G48" s="2" t="s">
        <v>279</v>
      </c>
      <c r="H48" s="2" t="s">
        <v>280</v>
      </c>
      <c r="I48" s="2" t="s">
        <v>281</v>
      </c>
      <c r="J48" s="1" t="s">
        <v>61</v>
      </c>
      <c r="K48" s="1" t="s">
        <v>13</v>
      </c>
      <c r="L48" s="12" t="s">
        <v>740</v>
      </c>
    </row>
    <row r="49" spans="1:12" ht="58" x14ac:dyDescent="0.35">
      <c r="A49" s="1" t="s">
        <v>282</v>
      </c>
      <c r="B49" s="2" t="s">
        <v>20</v>
      </c>
      <c r="C49" s="2" t="s">
        <v>266</v>
      </c>
      <c r="D49" s="2" t="s">
        <v>283</v>
      </c>
      <c r="E49" s="2" t="s">
        <v>284</v>
      </c>
      <c r="F49" s="2" t="s">
        <v>278</v>
      </c>
      <c r="G49" s="2" t="s">
        <v>285</v>
      </c>
      <c r="H49" s="2" t="s">
        <v>286</v>
      </c>
      <c r="I49" s="2" t="s">
        <v>287</v>
      </c>
      <c r="J49" s="1" t="s">
        <v>61</v>
      </c>
      <c r="K49" s="1" t="s">
        <v>13</v>
      </c>
      <c r="L49" s="12" t="s">
        <v>740</v>
      </c>
    </row>
    <row r="50" spans="1:12" ht="58" x14ac:dyDescent="0.35">
      <c r="A50" s="1" t="s">
        <v>288</v>
      </c>
      <c r="B50" s="2" t="s">
        <v>20</v>
      </c>
      <c r="C50" s="2" t="s">
        <v>266</v>
      </c>
      <c r="D50" s="2" t="s">
        <v>289</v>
      </c>
      <c r="E50" s="2" t="s">
        <v>290</v>
      </c>
      <c r="F50" s="2" t="s">
        <v>278</v>
      </c>
      <c r="G50" s="2" t="s">
        <v>291</v>
      </c>
      <c r="H50" s="2" t="s">
        <v>292</v>
      </c>
      <c r="I50" s="2" t="s">
        <v>293</v>
      </c>
      <c r="J50" s="1" t="s">
        <v>61</v>
      </c>
      <c r="K50" s="1" t="s">
        <v>13</v>
      </c>
      <c r="L50" s="12" t="s">
        <v>740</v>
      </c>
    </row>
    <row r="51" spans="1:12" ht="43.5" x14ac:dyDescent="0.35">
      <c r="A51" s="1" t="s">
        <v>294</v>
      </c>
      <c r="B51" s="2" t="s">
        <v>20</v>
      </c>
      <c r="C51" s="2" t="s">
        <v>266</v>
      </c>
      <c r="D51" s="2" t="s">
        <v>295</v>
      </c>
      <c r="E51" s="2" t="s">
        <v>111</v>
      </c>
      <c r="F51" s="2" t="s">
        <v>278</v>
      </c>
      <c r="G51" s="2" t="s">
        <v>296</v>
      </c>
      <c r="H51" s="2" t="s">
        <v>297</v>
      </c>
      <c r="I51" s="2" t="s">
        <v>298</v>
      </c>
      <c r="J51" s="1" t="s">
        <v>42</v>
      </c>
      <c r="K51" s="1" t="s">
        <v>13</v>
      </c>
      <c r="L51" s="12" t="s">
        <v>740</v>
      </c>
    </row>
    <row r="52" spans="1:12" ht="43.5" x14ac:dyDescent="0.35">
      <c r="A52" s="1" t="s">
        <v>299</v>
      </c>
      <c r="B52" s="2" t="s">
        <v>20</v>
      </c>
      <c r="C52" s="2" t="s">
        <v>266</v>
      </c>
      <c r="D52" s="2" t="s">
        <v>300</v>
      </c>
      <c r="E52" s="2" t="s">
        <v>272</v>
      </c>
      <c r="F52" s="2" t="s">
        <v>278</v>
      </c>
      <c r="G52" s="2" t="s">
        <v>301</v>
      </c>
      <c r="H52" s="2" t="s">
        <v>302</v>
      </c>
      <c r="I52" s="2" t="s">
        <v>303</v>
      </c>
      <c r="J52" s="1" t="s">
        <v>42</v>
      </c>
      <c r="K52" s="1" t="s">
        <v>13</v>
      </c>
      <c r="L52" s="12" t="s">
        <v>740</v>
      </c>
    </row>
    <row r="53" spans="1:12" ht="29" x14ac:dyDescent="0.35">
      <c r="A53" s="1" t="s">
        <v>304</v>
      </c>
      <c r="B53" s="2" t="s">
        <v>22</v>
      </c>
      <c r="C53" s="2" t="s">
        <v>305</v>
      </c>
      <c r="D53" s="2" t="s">
        <v>306</v>
      </c>
      <c r="E53" s="2" t="s">
        <v>111</v>
      </c>
      <c r="F53" s="2"/>
      <c r="G53" s="2"/>
      <c r="H53" s="2" t="s">
        <v>307</v>
      </c>
      <c r="I53" s="2" t="s">
        <v>308</v>
      </c>
      <c r="J53" s="1" t="s">
        <v>42</v>
      </c>
      <c r="K53" s="1" t="s">
        <v>11</v>
      </c>
      <c r="L53" s="12" t="s">
        <v>740</v>
      </c>
    </row>
    <row r="54" spans="1:12" ht="29" x14ac:dyDescent="0.35">
      <c r="A54" s="1" t="s">
        <v>309</v>
      </c>
      <c r="B54" s="2" t="s">
        <v>22</v>
      </c>
      <c r="C54" s="2" t="s">
        <v>305</v>
      </c>
      <c r="D54" s="2" t="s">
        <v>310</v>
      </c>
      <c r="E54" s="2" t="s">
        <v>311</v>
      </c>
      <c r="F54" s="2"/>
      <c r="G54" s="2"/>
      <c r="H54" s="2" t="s">
        <v>312</v>
      </c>
      <c r="I54" s="2" t="s">
        <v>313</v>
      </c>
      <c r="J54" s="1" t="s">
        <v>42</v>
      </c>
      <c r="K54" s="1" t="s">
        <v>13</v>
      </c>
    </row>
    <row r="55" spans="1:12" ht="43.5" x14ac:dyDescent="0.35">
      <c r="A55" s="1" t="s">
        <v>314</v>
      </c>
      <c r="B55" s="2" t="s">
        <v>22</v>
      </c>
      <c r="C55" s="2" t="s">
        <v>305</v>
      </c>
      <c r="D55" s="2" t="s">
        <v>315</v>
      </c>
      <c r="E55" s="2" t="s">
        <v>111</v>
      </c>
      <c r="F55" s="2" t="s">
        <v>316</v>
      </c>
      <c r="G55" s="2" t="s">
        <v>317</v>
      </c>
      <c r="H55" s="2" t="s">
        <v>318</v>
      </c>
      <c r="I55" s="2" t="s">
        <v>319</v>
      </c>
      <c r="J55" s="1" t="s">
        <v>61</v>
      </c>
      <c r="K55" s="1" t="s">
        <v>13</v>
      </c>
      <c r="L55" s="12" t="s">
        <v>740</v>
      </c>
    </row>
    <row r="56" spans="1:12" ht="43.5" x14ac:dyDescent="0.35">
      <c r="A56" s="1" t="s">
        <v>320</v>
      </c>
      <c r="B56" s="2" t="s">
        <v>22</v>
      </c>
      <c r="C56" s="2" t="s">
        <v>305</v>
      </c>
      <c r="D56" s="2" t="s">
        <v>321</v>
      </c>
      <c r="E56" s="2" t="s">
        <v>311</v>
      </c>
      <c r="F56" s="2" t="s">
        <v>316</v>
      </c>
      <c r="G56" s="2" t="s">
        <v>322</v>
      </c>
      <c r="H56" s="2" t="s">
        <v>323</v>
      </c>
      <c r="I56" s="2" t="s">
        <v>324</v>
      </c>
      <c r="J56" s="1" t="s">
        <v>42</v>
      </c>
      <c r="K56" s="1" t="s">
        <v>13</v>
      </c>
      <c r="L56" s="12" t="s">
        <v>740</v>
      </c>
    </row>
    <row r="57" spans="1:12" ht="29" x14ac:dyDescent="0.35">
      <c r="A57" s="1" t="s">
        <v>325</v>
      </c>
      <c r="B57" s="2" t="s">
        <v>22</v>
      </c>
      <c r="C57" s="2" t="s">
        <v>305</v>
      </c>
      <c r="D57" s="2" t="s">
        <v>326</v>
      </c>
      <c r="E57" s="2" t="s">
        <v>327</v>
      </c>
      <c r="F57" s="2" t="s">
        <v>316</v>
      </c>
      <c r="G57" s="2" t="s">
        <v>328</v>
      </c>
      <c r="H57" s="2" t="s">
        <v>329</v>
      </c>
      <c r="I57" s="2" t="s">
        <v>330</v>
      </c>
      <c r="J57" s="1" t="s">
        <v>42</v>
      </c>
      <c r="K57" s="1" t="s">
        <v>13</v>
      </c>
    </row>
    <row r="58" spans="1:12" ht="29" x14ac:dyDescent="0.35">
      <c r="A58" s="1" t="s">
        <v>331</v>
      </c>
      <c r="B58" s="2" t="s">
        <v>24</v>
      </c>
      <c r="C58" s="2" t="s">
        <v>332</v>
      </c>
      <c r="D58" s="2" t="s">
        <v>333</v>
      </c>
      <c r="E58" s="2" t="s">
        <v>156</v>
      </c>
      <c r="F58" s="2"/>
      <c r="G58" s="2"/>
      <c r="H58" s="2" t="s">
        <v>334</v>
      </c>
      <c r="I58" s="2" t="s">
        <v>335</v>
      </c>
      <c r="J58" s="1" t="s">
        <v>42</v>
      </c>
      <c r="K58" s="1" t="s">
        <v>11</v>
      </c>
      <c r="L58" s="12" t="s">
        <v>740</v>
      </c>
    </row>
    <row r="59" spans="1:12" ht="72.5" x14ac:dyDescent="0.35">
      <c r="A59" s="1" t="s">
        <v>336</v>
      </c>
      <c r="B59" s="2" t="s">
        <v>24</v>
      </c>
      <c r="C59" s="2" t="s">
        <v>332</v>
      </c>
      <c r="D59" s="2" t="s">
        <v>337</v>
      </c>
      <c r="E59" s="2" t="s">
        <v>338</v>
      </c>
      <c r="F59" s="2" t="s">
        <v>339</v>
      </c>
      <c r="G59" s="2" t="s">
        <v>340</v>
      </c>
      <c r="H59" s="2" t="s">
        <v>341</v>
      </c>
      <c r="I59" s="2" t="s">
        <v>342</v>
      </c>
      <c r="J59" s="1" t="s">
        <v>61</v>
      </c>
      <c r="K59" s="1" t="s">
        <v>13</v>
      </c>
      <c r="L59" s="12" t="s">
        <v>740</v>
      </c>
    </row>
    <row r="60" spans="1:12" ht="43.5" x14ac:dyDescent="0.35">
      <c r="A60" s="1" t="s">
        <v>343</v>
      </c>
      <c r="B60" s="2" t="s">
        <v>24</v>
      </c>
      <c r="C60" s="2" t="s">
        <v>332</v>
      </c>
      <c r="D60" s="2" t="s">
        <v>344</v>
      </c>
      <c r="E60" s="2" t="s">
        <v>345</v>
      </c>
      <c r="F60" s="2" t="s">
        <v>339</v>
      </c>
      <c r="G60" s="2" t="s">
        <v>346</v>
      </c>
      <c r="H60" s="2" t="s">
        <v>347</v>
      </c>
      <c r="I60" s="2" t="s">
        <v>348</v>
      </c>
      <c r="J60" s="1" t="s">
        <v>61</v>
      </c>
      <c r="K60" s="1" t="s">
        <v>13</v>
      </c>
      <c r="L60" s="12" t="s">
        <v>741</v>
      </c>
    </row>
    <row r="61" spans="1:12" ht="43.5" x14ac:dyDescent="0.35">
      <c r="A61" s="1" t="s">
        <v>349</v>
      </c>
      <c r="B61" s="2" t="s">
        <v>24</v>
      </c>
      <c r="C61" s="2" t="s">
        <v>332</v>
      </c>
      <c r="D61" s="2" t="s">
        <v>350</v>
      </c>
      <c r="E61" s="2" t="s">
        <v>345</v>
      </c>
      <c r="F61" s="2" t="s">
        <v>339</v>
      </c>
      <c r="G61" s="2" t="s">
        <v>351</v>
      </c>
      <c r="H61" s="2" t="s">
        <v>352</v>
      </c>
      <c r="I61" s="2" t="s">
        <v>353</v>
      </c>
      <c r="J61" s="1" t="s">
        <v>61</v>
      </c>
      <c r="K61" s="1" t="s">
        <v>13</v>
      </c>
      <c r="L61" s="12" t="s">
        <v>741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tabSelected="1" zoomScale="70" zoomScaleNormal="70" workbookViewId="0">
      <selection activeCell="L10" sqref="L10"/>
    </sheetView>
  </sheetViews>
  <sheetFormatPr defaultRowHeight="14.5" x14ac:dyDescent="0.35"/>
  <cols>
    <col min="1" max="2" width="12" customWidth="1"/>
    <col min="3" max="3" width="23.54296875" bestFit="1" customWidth="1"/>
    <col min="4" max="4" width="14" customWidth="1"/>
    <col min="5" max="5" width="22" customWidth="1"/>
    <col min="6" max="6" width="12" customWidth="1"/>
    <col min="7" max="7" width="30" customWidth="1"/>
    <col min="8" max="8" width="28" customWidth="1"/>
    <col min="9" max="9" width="16" customWidth="1"/>
    <col min="10" max="10" width="12" customWidth="1"/>
    <col min="11" max="11" width="22" customWidth="1"/>
  </cols>
  <sheetData>
    <row r="1" spans="1:11" x14ac:dyDescent="0.35">
      <c r="A1" s="6" t="s">
        <v>354</v>
      </c>
      <c r="B1" s="6" t="s">
        <v>25</v>
      </c>
      <c r="C1" s="6" t="s">
        <v>30</v>
      </c>
      <c r="D1" s="6" t="s">
        <v>31</v>
      </c>
      <c r="E1" s="6" t="s">
        <v>27</v>
      </c>
      <c r="F1" s="6" t="s">
        <v>355</v>
      </c>
      <c r="G1" s="6" t="s">
        <v>356</v>
      </c>
      <c r="H1" s="6" t="s">
        <v>357</v>
      </c>
      <c r="I1" s="6" t="s">
        <v>358</v>
      </c>
      <c r="J1" s="6" t="s">
        <v>359</v>
      </c>
      <c r="K1" s="6" t="s">
        <v>1</v>
      </c>
    </row>
    <row r="2" spans="1:11" ht="24" customHeight="1" x14ac:dyDescent="0.35">
      <c r="A2" s="1" t="s">
        <v>360</v>
      </c>
      <c r="B2" s="1" t="s">
        <v>36</v>
      </c>
      <c r="C2" s="1">
        <f>IFERROR(VLOOKUP($B2,TestCases!$A$2:$K$61,6,FALSE),"")</f>
        <v>0</v>
      </c>
      <c r="D2" s="1">
        <f>IFERROR(VLOOKUP($B2,TestCases!$A$2:$K$61,7,FALSE),"")</f>
        <v>0</v>
      </c>
      <c r="E2" s="2" t="str">
        <f>IFERROR(VLOOKUP($B2,TestCases!$A$2:$K$61,3,FALSE),"")</f>
        <v>Trang chủ / Đăng ký</v>
      </c>
      <c r="F2" s="1" t="s">
        <v>15</v>
      </c>
      <c r="G2" s="2" t="s">
        <v>41</v>
      </c>
      <c r="H2" s="2" t="s">
        <v>646</v>
      </c>
      <c r="I2" s="2"/>
      <c r="J2" s="1" t="s">
        <v>362</v>
      </c>
      <c r="K2" s="2" t="s">
        <v>361</v>
      </c>
    </row>
    <row r="3" spans="1:11" ht="24" customHeight="1" x14ac:dyDescent="0.35">
      <c r="A3" s="1" t="s">
        <v>363</v>
      </c>
      <c r="B3" s="1" t="s">
        <v>43</v>
      </c>
      <c r="C3" s="1">
        <f>IFERROR(VLOOKUP($B3,TestCases!$A$2:$K$61,6,FALSE),"")</f>
        <v>0</v>
      </c>
      <c r="D3" s="1">
        <f>IFERROR(VLOOKUP($B3,TestCases!$A$2:$K$61,7,FALSE),"")</f>
        <v>0</v>
      </c>
      <c r="E3" s="2" t="str">
        <f>IFERROR(VLOOKUP($B3,TestCases!$A$2:$K$61,3,FALSE),"")</f>
        <v>Đăng ký</v>
      </c>
      <c r="F3" s="1" t="s">
        <v>15</v>
      </c>
      <c r="G3" s="2" t="s">
        <v>45</v>
      </c>
      <c r="H3" s="2" t="s">
        <v>647</v>
      </c>
      <c r="I3" s="2"/>
      <c r="J3" s="1" t="s">
        <v>362</v>
      </c>
      <c r="K3" s="2" t="s">
        <v>361</v>
      </c>
    </row>
    <row r="4" spans="1:11" ht="24" customHeight="1" x14ac:dyDescent="0.35">
      <c r="A4" s="1" t="s">
        <v>364</v>
      </c>
      <c r="B4" s="1" t="s">
        <v>49</v>
      </c>
      <c r="C4" s="1">
        <f>IFERROR(VLOOKUP($B4,TestCases!$A$2:$K$61,6,FALSE),"")</f>
        <v>0</v>
      </c>
      <c r="D4" s="1">
        <f>IFERROR(VLOOKUP($B4,TestCases!$A$2:$K$61,7,FALSE),"")</f>
        <v>0</v>
      </c>
      <c r="E4" s="2" t="str">
        <f>IFERROR(VLOOKUP($B4,TestCases!$A$2:$K$61,3,FALSE),"")</f>
        <v>Đăng ký</v>
      </c>
      <c r="F4" s="1" t="s">
        <v>15</v>
      </c>
      <c r="G4" s="2" t="s">
        <v>648</v>
      </c>
      <c r="H4" s="2" t="s">
        <v>649</v>
      </c>
      <c r="I4" s="2"/>
      <c r="J4" s="1" t="s">
        <v>362</v>
      </c>
      <c r="K4" s="2" t="s">
        <v>361</v>
      </c>
    </row>
    <row r="5" spans="1:11" ht="24" customHeight="1" x14ac:dyDescent="0.35">
      <c r="A5" s="1" t="s">
        <v>365</v>
      </c>
      <c r="B5" s="1" t="s">
        <v>54</v>
      </c>
      <c r="C5" s="1" t="str">
        <f>IFERROR(VLOOKUP($B5,TestCases!$A$2:$K$61,6,FALSE),"")</f>
        <v>TestData_Register</v>
      </c>
      <c r="D5" s="1" t="str">
        <f>IFERROR(VLOOKUP($B5,TestCases!$A$2:$K$61,7,FALSE),"")</f>
        <v>REG_01</v>
      </c>
      <c r="E5" s="2" t="str">
        <f>IFERROR(VLOOKUP($B5,TestCases!$A$2:$K$61,3,FALSE),"")</f>
        <v>Đăng ký</v>
      </c>
      <c r="F5" s="1" t="s">
        <v>15</v>
      </c>
      <c r="G5" s="2" t="s">
        <v>650</v>
      </c>
      <c r="H5" s="2" t="s">
        <v>651</v>
      </c>
      <c r="I5" s="2"/>
      <c r="J5" s="1" t="s">
        <v>362</v>
      </c>
      <c r="K5" s="2" t="s">
        <v>361</v>
      </c>
    </row>
    <row r="6" spans="1:11" ht="24" customHeight="1" x14ac:dyDescent="0.35">
      <c r="A6" s="1" t="s">
        <v>366</v>
      </c>
      <c r="B6" s="1" t="s">
        <v>62</v>
      </c>
      <c r="C6" s="1" t="str">
        <f>IFERROR(VLOOKUP($B6,TestCases!$A$2:$K$61,6,FALSE),"")</f>
        <v>TestData_Register</v>
      </c>
      <c r="D6" s="1" t="str">
        <f>IFERROR(VLOOKUP($B6,TestCases!$A$2:$K$61,7,FALSE),"")</f>
        <v>REG_02</v>
      </c>
      <c r="E6" s="2" t="str">
        <f>IFERROR(VLOOKUP($B6,TestCases!$A$2:$K$61,3,FALSE),"")</f>
        <v>Đăng ký</v>
      </c>
      <c r="F6" s="1" t="s">
        <v>15</v>
      </c>
      <c r="G6" s="2" t="s">
        <v>652</v>
      </c>
      <c r="H6" s="2" t="s">
        <v>653</v>
      </c>
      <c r="I6" s="2"/>
      <c r="J6" s="1" t="s">
        <v>362</v>
      </c>
      <c r="K6" s="2" t="s">
        <v>361</v>
      </c>
    </row>
    <row r="7" spans="1:11" ht="24" customHeight="1" x14ac:dyDescent="0.35">
      <c r="A7" s="1" t="s">
        <v>367</v>
      </c>
      <c r="B7" s="1" t="s">
        <v>67</v>
      </c>
      <c r="C7" s="1" t="str">
        <f>IFERROR(VLOOKUP($B7,TestCases!$A$2:$K$61,6,FALSE),"")</f>
        <v>TestData_Register</v>
      </c>
      <c r="D7" s="1" t="str">
        <f>IFERROR(VLOOKUP($B7,TestCases!$A$2:$K$61,7,FALSE),"")</f>
        <v>REG_03</v>
      </c>
      <c r="E7" s="2" t="str">
        <f>IFERROR(VLOOKUP($B7,TestCases!$A$2:$K$61,3,FALSE),"")</f>
        <v>Đăng ký</v>
      </c>
      <c r="F7" s="1" t="s">
        <v>15</v>
      </c>
      <c r="G7" s="2" t="s">
        <v>654</v>
      </c>
      <c r="H7" s="2" t="s">
        <v>655</v>
      </c>
      <c r="I7" s="2"/>
      <c r="J7" s="1" t="s">
        <v>362</v>
      </c>
      <c r="K7" s="2" t="s">
        <v>361</v>
      </c>
    </row>
    <row r="8" spans="1:11" ht="24" customHeight="1" x14ac:dyDescent="0.35">
      <c r="A8" s="1" t="s">
        <v>368</v>
      </c>
      <c r="B8" s="1" t="s">
        <v>72</v>
      </c>
      <c r="C8" s="1" t="str">
        <f>IFERROR(VLOOKUP($B8,TestCases!$A$2:$K$61,6,FALSE),"")</f>
        <v>TestData_Register</v>
      </c>
      <c r="D8" s="1" t="str">
        <f>IFERROR(VLOOKUP($B8,TestCases!$A$2:$K$61,7,FALSE),"")</f>
        <v>REG_04</v>
      </c>
      <c r="E8" s="2" t="str">
        <f>IFERROR(VLOOKUP($B8,TestCases!$A$2:$K$61,3,FALSE),"")</f>
        <v>Đăng ký</v>
      </c>
      <c r="F8" s="1" t="s">
        <v>15</v>
      </c>
      <c r="G8" s="2" t="s">
        <v>656</v>
      </c>
      <c r="H8" s="2" t="s">
        <v>657</v>
      </c>
      <c r="I8" s="2"/>
      <c r="J8" s="1" t="s">
        <v>362</v>
      </c>
      <c r="K8" s="2" t="s">
        <v>361</v>
      </c>
    </row>
    <row r="9" spans="1:11" ht="24" customHeight="1" x14ac:dyDescent="0.35">
      <c r="A9" s="1" t="s">
        <v>369</v>
      </c>
      <c r="B9" s="1" t="s">
        <v>78</v>
      </c>
      <c r="C9" s="1">
        <f>IFERROR(VLOOKUP($B9,TestCases!$A$2:$K$61,6,FALSE),"")</f>
        <v>0</v>
      </c>
      <c r="D9" s="1">
        <f>IFERROR(VLOOKUP($B9,TestCases!$A$2:$K$61,7,FALSE),"")</f>
        <v>0</v>
      </c>
      <c r="E9" s="2" t="str">
        <f>IFERROR(VLOOKUP($B9,TestCases!$A$2:$K$61,3,FALSE),"")</f>
        <v>Đăng nhập</v>
      </c>
      <c r="F9" s="1" t="s">
        <v>15</v>
      </c>
      <c r="G9" s="2" t="s">
        <v>658</v>
      </c>
      <c r="H9" s="2" t="s">
        <v>659</v>
      </c>
      <c r="I9" s="2"/>
      <c r="J9" s="1" t="s">
        <v>362</v>
      </c>
      <c r="K9" s="2" t="s">
        <v>361</v>
      </c>
    </row>
    <row r="10" spans="1:11" ht="24" customHeight="1" x14ac:dyDescent="0.35">
      <c r="A10" s="1" t="s">
        <v>370</v>
      </c>
      <c r="B10" s="1" t="s">
        <v>83</v>
      </c>
      <c r="C10" s="1" t="str">
        <f>IFERROR(VLOOKUP($B10,TestCases!$A$2:$K$61,6,FALSE),"")</f>
        <v>TestData_Login</v>
      </c>
      <c r="D10" s="1" t="str">
        <f>IFERROR(VLOOKUP($B10,TestCases!$A$2:$K$61,7,FALSE),"")</f>
        <v>LOGIN_01</v>
      </c>
      <c r="E10" s="2" t="str">
        <f>IFERROR(VLOOKUP($B10,TestCases!$A$2:$K$61,3,FALSE),"")</f>
        <v>Đăng nhập</v>
      </c>
      <c r="F10" s="1" t="s">
        <v>15</v>
      </c>
      <c r="G10" s="2" t="s">
        <v>84</v>
      </c>
      <c r="H10" s="2" t="s">
        <v>660</v>
      </c>
      <c r="I10" s="2"/>
      <c r="J10" s="1" t="s">
        <v>362</v>
      </c>
      <c r="K10" s="2" t="s">
        <v>361</v>
      </c>
    </row>
    <row r="11" spans="1:11" ht="24" customHeight="1" x14ac:dyDescent="0.35">
      <c r="A11" s="1" t="s">
        <v>371</v>
      </c>
      <c r="B11" s="1" t="s">
        <v>89</v>
      </c>
      <c r="C11" s="1" t="str">
        <f>IFERROR(VLOOKUP($B11,TestCases!$A$2:$K$61,6,FALSE),"")</f>
        <v>TestData_Login</v>
      </c>
      <c r="D11" s="1" t="str">
        <f>IFERROR(VLOOKUP($B11,TestCases!$A$2:$K$61,7,FALSE),"")</f>
        <v>LOGIN_01</v>
      </c>
      <c r="E11" s="2" t="str">
        <f>IFERROR(VLOOKUP($B11,TestCases!$A$2:$K$61,3,FALSE),"")</f>
        <v>Đăng nhập</v>
      </c>
      <c r="F11" s="1" t="s">
        <v>15</v>
      </c>
      <c r="G11" s="2" t="s">
        <v>661</v>
      </c>
      <c r="H11" s="2" t="s">
        <v>662</v>
      </c>
      <c r="I11" s="2"/>
      <c r="J11" s="1" t="s">
        <v>362</v>
      </c>
      <c r="K11" s="2" t="s">
        <v>361</v>
      </c>
    </row>
    <row r="12" spans="1:11" ht="24" customHeight="1" x14ac:dyDescent="0.35">
      <c r="A12" s="1" t="s">
        <v>372</v>
      </c>
      <c r="B12" s="1" t="s">
        <v>94</v>
      </c>
      <c r="C12" s="1" t="str">
        <f>IFERROR(VLOOKUP($B12,TestCases!$A$2:$K$61,6,FALSE),"")</f>
        <v>TestData_Login</v>
      </c>
      <c r="D12" s="1" t="str">
        <f>IFERROR(VLOOKUP($B12,TestCases!$A$2:$K$61,7,FALSE),"")</f>
        <v>LOGIN_02</v>
      </c>
      <c r="E12" s="2" t="str">
        <f>IFERROR(VLOOKUP($B12,TestCases!$A$2:$K$61,3,FALSE),"")</f>
        <v>Đăng nhập</v>
      </c>
      <c r="F12" s="1" t="s">
        <v>15</v>
      </c>
      <c r="G12" s="2" t="s">
        <v>663</v>
      </c>
      <c r="H12" s="2" t="s">
        <v>664</v>
      </c>
      <c r="I12" s="2"/>
      <c r="J12" s="1" t="s">
        <v>362</v>
      </c>
      <c r="K12" s="2" t="s">
        <v>361</v>
      </c>
    </row>
    <row r="13" spans="1:11" ht="24" customHeight="1" x14ac:dyDescent="0.35">
      <c r="A13" s="1" t="s">
        <v>373</v>
      </c>
      <c r="B13" s="1" t="s">
        <v>99</v>
      </c>
      <c r="C13" s="1" t="str">
        <f>IFERROR(VLOOKUP($B13,TestCases!$A$2:$K$61,6,FALSE),"")</f>
        <v>TestData_Login</v>
      </c>
      <c r="D13" s="1" t="str">
        <f>IFERROR(VLOOKUP($B13,TestCases!$A$2:$K$61,7,FALSE),"")</f>
        <v>LOGIN_03</v>
      </c>
      <c r="E13" s="2" t="str">
        <f>IFERROR(VLOOKUP($B13,TestCases!$A$2:$K$61,3,FALSE),"")</f>
        <v>Đăng nhập</v>
      </c>
      <c r="F13" s="1" t="s">
        <v>15</v>
      </c>
      <c r="G13" s="2" t="s">
        <v>663</v>
      </c>
      <c r="H13" s="2" t="s">
        <v>665</v>
      </c>
      <c r="I13" s="2"/>
      <c r="J13" s="1" t="s">
        <v>362</v>
      </c>
      <c r="K13" s="2" t="s">
        <v>361</v>
      </c>
    </row>
    <row r="14" spans="1:11" ht="24" customHeight="1" x14ac:dyDescent="0.35">
      <c r="A14" s="1" t="s">
        <v>374</v>
      </c>
      <c r="B14" s="1" t="s">
        <v>103</v>
      </c>
      <c r="C14" s="1" t="str">
        <f>IFERROR(VLOOKUP($B14,TestCases!$A$2:$K$61,6,FALSE),"")</f>
        <v>TestData_Login</v>
      </c>
      <c r="D14" s="1" t="str">
        <f>IFERROR(VLOOKUP($B14,TestCases!$A$2:$K$61,7,FALSE),"")</f>
        <v>LOGIN_04</v>
      </c>
      <c r="E14" s="2" t="str">
        <f>IFERROR(VLOOKUP($B14,TestCases!$A$2:$K$61,3,FALSE),"")</f>
        <v>Đăng nhập</v>
      </c>
      <c r="F14" s="1" t="s">
        <v>15</v>
      </c>
      <c r="G14" s="2" t="s">
        <v>663</v>
      </c>
      <c r="H14" s="2" t="s">
        <v>666</v>
      </c>
      <c r="I14" s="2"/>
      <c r="J14" s="1" t="s">
        <v>362</v>
      </c>
      <c r="K14" s="2" t="s">
        <v>361</v>
      </c>
    </row>
    <row r="15" spans="1:11" ht="24" customHeight="1" x14ac:dyDescent="0.35">
      <c r="A15" s="1" t="s">
        <v>375</v>
      </c>
      <c r="B15" s="1" t="s">
        <v>108</v>
      </c>
      <c r="C15" s="1">
        <f>IFERROR(VLOOKUP($B15,TestCases!$A$2:$K$61,6,FALSE),"")</f>
        <v>0</v>
      </c>
      <c r="D15" s="1">
        <f>IFERROR(VLOOKUP($B15,TestCases!$A$2:$K$61,7,FALSE),"")</f>
        <v>0</v>
      </c>
      <c r="E15" s="2" t="str">
        <f>IFERROR(VLOOKUP($B15,TestCases!$A$2:$K$61,3,FALSE),"")</f>
        <v>Đăng xuất</v>
      </c>
      <c r="F15" s="1" t="s">
        <v>15</v>
      </c>
      <c r="G15" s="2" t="s">
        <v>110</v>
      </c>
      <c r="H15" s="2" t="s">
        <v>667</v>
      </c>
      <c r="I15" s="2"/>
      <c r="J15" s="1" t="s">
        <v>362</v>
      </c>
      <c r="K15" s="2" t="s">
        <v>361</v>
      </c>
    </row>
    <row r="16" spans="1:11" ht="24" customHeight="1" x14ac:dyDescent="0.35">
      <c r="A16" s="1" t="s">
        <v>376</v>
      </c>
      <c r="B16" s="1" t="s">
        <v>114</v>
      </c>
      <c r="C16" s="1">
        <f>IFERROR(VLOOKUP($B16,TestCases!$A$2:$K$61,6,FALSE),"")</f>
        <v>0</v>
      </c>
      <c r="D16" s="1">
        <f>IFERROR(VLOOKUP($B16,TestCases!$A$2:$K$61,7,FALSE),"")</f>
        <v>0</v>
      </c>
      <c r="E16" s="2" t="str">
        <f>IFERROR(VLOOKUP($B16,TestCases!$A$2:$K$61,3,FALSE),"")</f>
        <v>Bảo mật sau đăng xuất</v>
      </c>
      <c r="F16" s="1" t="s">
        <v>15</v>
      </c>
      <c r="G16" s="2" t="s">
        <v>668</v>
      </c>
      <c r="H16" s="2" t="s">
        <v>669</v>
      </c>
      <c r="I16" s="2"/>
      <c r="J16" s="1" t="s">
        <v>362</v>
      </c>
      <c r="K16" s="2" t="s">
        <v>361</v>
      </c>
    </row>
    <row r="17" spans="1:11" ht="24" customHeight="1" x14ac:dyDescent="0.35">
      <c r="A17" s="1" t="s">
        <v>377</v>
      </c>
      <c r="B17" s="1" t="s">
        <v>120</v>
      </c>
      <c r="C17" s="1">
        <f>IFERROR(VLOOKUP($B17,TestCases!$A$2:$K$61,6,FALSE),"")</f>
        <v>0</v>
      </c>
      <c r="D17" s="1">
        <f>IFERROR(VLOOKUP($B17,TestCases!$A$2:$K$61,7,FALSE),"")</f>
        <v>0</v>
      </c>
      <c r="E17" s="2" t="str">
        <f>IFERROR(VLOOKUP($B17,TestCases!$A$2:$K$61,3,FALSE),"")</f>
        <v>Tổng quan tài khoản</v>
      </c>
      <c r="F17" s="1" t="s">
        <v>15</v>
      </c>
      <c r="G17" s="2" t="s">
        <v>670</v>
      </c>
      <c r="H17" s="2" t="s">
        <v>671</v>
      </c>
      <c r="I17" s="2"/>
      <c r="J17" s="1" t="s">
        <v>362</v>
      </c>
      <c r="K17" s="2" t="s">
        <v>361</v>
      </c>
    </row>
    <row r="18" spans="1:11" ht="24" customHeight="1" x14ac:dyDescent="0.35">
      <c r="A18" s="1" t="s">
        <v>378</v>
      </c>
      <c r="B18" s="1" t="s">
        <v>125</v>
      </c>
      <c r="C18" s="1">
        <f>IFERROR(VLOOKUP($B18,TestCases!$A$2:$K$61,6,FALSE),"")</f>
        <v>0</v>
      </c>
      <c r="D18" s="1">
        <f>IFERROR(VLOOKUP($B18,TestCases!$A$2:$K$61,7,FALSE),"")</f>
        <v>0</v>
      </c>
      <c r="E18" s="2" t="str">
        <f>IFERROR(VLOOKUP($B18,TestCases!$A$2:$K$61,3,FALSE),"")</f>
        <v>Tổng quan tài khoản</v>
      </c>
      <c r="F18" s="1" t="s">
        <v>15</v>
      </c>
      <c r="G18" s="2" t="s">
        <v>126</v>
      </c>
      <c r="H18" s="2" t="s">
        <v>672</v>
      </c>
      <c r="I18" s="2"/>
      <c r="J18" s="1" t="s">
        <v>362</v>
      </c>
      <c r="K18" s="2" t="s">
        <v>361</v>
      </c>
    </row>
    <row r="19" spans="1:11" ht="24" customHeight="1" x14ac:dyDescent="0.35">
      <c r="A19" s="1" t="s">
        <v>379</v>
      </c>
      <c r="B19" s="1" t="s">
        <v>129</v>
      </c>
      <c r="C19" s="1">
        <f>IFERROR(VLOOKUP($B19,TestCases!$A$2:$K$61,6,FALSE),"")</f>
        <v>0</v>
      </c>
      <c r="D19" s="1">
        <f>IFERROR(VLOOKUP($B19,TestCases!$A$2:$K$61,7,FALSE),"")</f>
        <v>0</v>
      </c>
      <c r="E19" s="2" t="str">
        <f>IFERROR(VLOOKUP($B19,TestCases!$A$2:$K$61,3,FALSE),"")</f>
        <v>Tổng quan tài khoản</v>
      </c>
      <c r="F19" s="1" t="s">
        <v>17</v>
      </c>
      <c r="G19" s="2" t="s">
        <v>673</v>
      </c>
      <c r="H19" s="2" t="s">
        <v>674</v>
      </c>
      <c r="I19" s="2"/>
      <c r="J19" s="1" t="s">
        <v>362</v>
      </c>
      <c r="K19" s="2" t="s">
        <v>361</v>
      </c>
    </row>
    <row r="20" spans="1:11" ht="24" customHeight="1" x14ac:dyDescent="0.35">
      <c r="A20" s="1" t="s">
        <v>380</v>
      </c>
      <c r="B20" s="1" t="s">
        <v>134</v>
      </c>
      <c r="C20" s="1">
        <f>IFERROR(VLOOKUP($B20,TestCases!$A$2:$K$61,6,FALSE),"")</f>
        <v>0</v>
      </c>
      <c r="D20" s="1">
        <f>IFERROR(VLOOKUP($B20,TestCases!$A$2:$K$61,7,FALSE),"")</f>
        <v>0</v>
      </c>
      <c r="E20" s="2" t="str">
        <f>IFERROR(VLOOKUP($B20,TestCases!$A$2:$K$61,3,FALSE),"")</f>
        <v>Tổng quan tài khoản</v>
      </c>
      <c r="F20" s="1" t="s">
        <v>15</v>
      </c>
      <c r="G20" s="2" t="s">
        <v>675</v>
      </c>
      <c r="H20" s="2" t="s">
        <v>676</v>
      </c>
      <c r="I20" s="2"/>
      <c r="J20" s="1" t="s">
        <v>362</v>
      </c>
      <c r="K20" s="2" t="s">
        <v>361</v>
      </c>
    </row>
    <row r="21" spans="1:11" ht="24" customHeight="1" x14ac:dyDescent="0.35">
      <c r="A21" s="1" t="s">
        <v>381</v>
      </c>
      <c r="B21" s="1" t="s">
        <v>139</v>
      </c>
      <c r="C21" s="1">
        <f>IFERROR(VLOOKUP($B21,TestCases!$A$2:$K$61,6,FALSE),"")</f>
        <v>0</v>
      </c>
      <c r="D21" s="1">
        <f>IFERROR(VLOOKUP($B21,TestCases!$A$2:$K$61,7,FALSE),"")</f>
        <v>0</v>
      </c>
      <c r="E21" s="2" t="str">
        <f>IFERROR(VLOOKUP($B21,TestCases!$A$2:$K$61,3,FALSE),"")</f>
        <v>Tổng quan tài khoản</v>
      </c>
      <c r="F21" s="1" t="s">
        <v>15</v>
      </c>
      <c r="G21" s="2" t="s">
        <v>677</v>
      </c>
      <c r="H21" s="2" t="s">
        <v>678</v>
      </c>
      <c r="I21" s="2"/>
      <c r="J21" s="1" t="s">
        <v>362</v>
      </c>
      <c r="K21" s="2" t="s">
        <v>361</v>
      </c>
    </row>
    <row r="22" spans="1:11" ht="24" customHeight="1" x14ac:dyDescent="0.35">
      <c r="A22" s="1" t="s">
        <v>382</v>
      </c>
      <c r="B22" s="1" t="s">
        <v>144</v>
      </c>
      <c r="C22" s="1">
        <f>IFERROR(VLOOKUP($B22,TestCases!$A$2:$K$61,6,FALSE),"")</f>
        <v>0</v>
      </c>
      <c r="D22" s="1">
        <f>IFERROR(VLOOKUP($B22,TestCases!$A$2:$K$61,7,FALSE),"")</f>
        <v>0</v>
      </c>
      <c r="E22" s="2" t="str">
        <f>IFERROR(VLOOKUP($B22,TestCases!$A$2:$K$61,3,FALSE),"")</f>
        <v>Tổng quan tài khoản</v>
      </c>
      <c r="F22" s="1" t="s">
        <v>15</v>
      </c>
      <c r="G22" s="2" t="s">
        <v>679</v>
      </c>
      <c r="H22" s="2" t="s">
        <v>680</v>
      </c>
      <c r="I22" s="2"/>
      <c r="J22" s="1" t="s">
        <v>362</v>
      </c>
      <c r="K22" s="2" t="s">
        <v>361</v>
      </c>
    </row>
    <row r="23" spans="1:11" ht="24" customHeight="1" x14ac:dyDescent="0.35">
      <c r="A23" s="1" t="s">
        <v>383</v>
      </c>
      <c r="B23" s="1" t="s">
        <v>149</v>
      </c>
      <c r="C23" s="1">
        <f>IFERROR(VLOOKUP($B23,TestCases!$A$2:$K$61,6,FALSE),"")</f>
        <v>0</v>
      </c>
      <c r="D23" s="1">
        <f>IFERROR(VLOOKUP($B23,TestCases!$A$2:$K$61,7,FALSE),"")</f>
        <v>0</v>
      </c>
      <c r="E23" s="2" t="str">
        <f>IFERROR(VLOOKUP($B23,TestCases!$A$2:$K$61,3,FALSE),"")</f>
        <v>Mở tài khoản mới</v>
      </c>
      <c r="F23" s="1" t="s">
        <v>15</v>
      </c>
      <c r="G23" s="2" t="s">
        <v>151</v>
      </c>
      <c r="H23" s="2" t="s">
        <v>681</v>
      </c>
      <c r="I23" s="2"/>
      <c r="J23" s="1" t="s">
        <v>362</v>
      </c>
      <c r="K23" s="2" t="s">
        <v>361</v>
      </c>
    </row>
    <row r="24" spans="1:11" ht="24" customHeight="1" x14ac:dyDescent="0.35">
      <c r="A24" s="1" t="s">
        <v>384</v>
      </c>
      <c r="B24" s="1" t="s">
        <v>154</v>
      </c>
      <c r="C24" s="1" t="str">
        <f>IFERROR(VLOOKUP($B24,TestCases!$A$2:$K$61,6,FALSE),"")</f>
        <v>TestData_OpenAccount</v>
      </c>
      <c r="D24" s="1" t="str">
        <f>IFERROR(VLOOKUP($B24,TestCases!$A$2:$K$61,7,FALSE),"")</f>
        <v>OPEN_01</v>
      </c>
      <c r="E24" s="2" t="str">
        <f>IFERROR(VLOOKUP($B24,TestCases!$A$2:$K$61,3,FALSE),"")</f>
        <v>Mở tài khoản mới</v>
      </c>
      <c r="F24" s="1" t="s">
        <v>15</v>
      </c>
      <c r="G24" s="2" t="s">
        <v>682</v>
      </c>
      <c r="H24" s="2" t="s">
        <v>683</v>
      </c>
      <c r="I24" s="2"/>
      <c r="J24" s="1" t="s">
        <v>362</v>
      </c>
      <c r="K24" s="2" t="s">
        <v>361</v>
      </c>
    </row>
    <row r="25" spans="1:11" ht="24" customHeight="1" x14ac:dyDescent="0.35">
      <c r="A25" s="1" t="s">
        <v>385</v>
      </c>
      <c r="B25" s="1" t="s">
        <v>161</v>
      </c>
      <c r="C25" s="1" t="str">
        <f>IFERROR(VLOOKUP($B25,TestCases!$A$2:$K$61,6,FALSE),"")</f>
        <v>TestData_OpenAccount</v>
      </c>
      <c r="D25" s="1" t="str">
        <f>IFERROR(VLOOKUP($B25,TestCases!$A$2:$K$61,7,FALSE),"")</f>
        <v>OPEN_02</v>
      </c>
      <c r="E25" s="2" t="str">
        <f>IFERROR(VLOOKUP($B25,TestCases!$A$2:$K$61,3,FALSE),"")</f>
        <v>Mở tài khoản mới</v>
      </c>
      <c r="F25" s="1" t="s">
        <v>15</v>
      </c>
      <c r="G25" s="2" t="s">
        <v>684</v>
      </c>
      <c r="H25" s="2" t="s">
        <v>685</v>
      </c>
      <c r="I25" s="2"/>
      <c r="J25" s="1" t="s">
        <v>362</v>
      </c>
      <c r="K25" s="2" t="s">
        <v>361</v>
      </c>
    </row>
    <row r="26" spans="1:11" ht="24" customHeight="1" x14ac:dyDescent="0.35">
      <c r="A26" s="1" t="s">
        <v>386</v>
      </c>
      <c r="B26" s="1" t="s">
        <v>166</v>
      </c>
      <c r="C26" s="1" t="str">
        <f>IFERROR(VLOOKUP($B26,TestCases!$A$2:$K$61,6,FALSE),"")</f>
        <v>TestData_OpenAccount</v>
      </c>
      <c r="D26" s="1" t="str">
        <f>IFERROR(VLOOKUP($B26,TestCases!$A$2:$K$61,7,FALSE),"")</f>
        <v>OPEN_01</v>
      </c>
      <c r="E26" s="2" t="str">
        <f>IFERROR(VLOOKUP($B26,TestCases!$A$2:$K$61,3,FALSE),"")</f>
        <v>Mở tài khoản mới</v>
      </c>
      <c r="F26" s="1" t="s">
        <v>17</v>
      </c>
      <c r="G26" s="2" t="s">
        <v>686</v>
      </c>
      <c r="H26" s="2" t="s">
        <v>687</v>
      </c>
      <c r="I26" s="2"/>
      <c r="J26" s="1" t="s">
        <v>362</v>
      </c>
      <c r="K26" s="2" t="s">
        <v>361</v>
      </c>
    </row>
    <row r="27" spans="1:11" ht="24" customHeight="1" x14ac:dyDescent="0.35">
      <c r="A27" s="1" t="s">
        <v>387</v>
      </c>
      <c r="B27" s="1" t="s">
        <v>171</v>
      </c>
      <c r="C27" s="1" t="str">
        <f>IFERROR(VLOOKUP($B27,TestCases!$A$2:$K$61,6,FALSE),"")</f>
        <v>TestData_OpenAccount</v>
      </c>
      <c r="D27" s="1" t="str">
        <f>IFERROR(VLOOKUP($B27,TestCases!$A$2:$K$61,7,FALSE),"")</f>
        <v>OPEN_01</v>
      </c>
      <c r="E27" s="2" t="str">
        <f>IFERROR(VLOOKUP($B27,TestCases!$A$2:$K$61,3,FALSE),"")</f>
        <v>Mở tài khoản mới</v>
      </c>
      <c r="F27" s="1" t="s">
        <v>17</v>
      </c>
      <c r="G27" s="2" t="s">
        <v>686</v>
      </c>
      <c r="H27" s="2" t="s">
        <v>688</v>
      </c>
      <c r="I27" s="2"/>
      <c r="J27" s="1" t="s">
        <v>362</v>
      </c>
      <c r="K27" s="2" t="s">
        <v>361</v>
      </c>
    </row>
    <row r="28" spans="1:11" ht="24" customHeight="1" x14ac:dyDescent="0.35">
      <c r="A28" s="1" t="s">
        <v>388</v>
      </c>
      <c r="B28" s="1" t="s">
        <v>175</v>
      </c>
      <c r="C28" s="1">
        <f>IFERROR(VLOOKUP($B28,TestCases!$A$2:$K$61,6,FALSE),"")</f>
        <v>0</v>
      </c>
      <c r="D28" s="1">
        <f>IFERROR(VLOOKUP($B28,TestCases!$A$2:$K$61,7,FALSE),"")</f>
        <v>0</v>
      </c>
      <c r="E28" s="2" t="str">
        <f>IFERROR(VLOOKUP($B28,TestCases!$A$2:$K$61,3,FALSE),"")</f>
        <v>Chuyển tiền</v>
      </c>
      <c r="F28" s="1" t="s">
        <v>15</v>
      </c>
      <c r="G28" s="2" t="s">
        <v>177</v>
      </c>
      <c r="H28" s="2" t="s">
        <v>689</v>
      </c>
      <c r="I28" s="2"/>
      <c r="J28" s="1" t="s">
        <v>362</v>
      </c>
      <c r="K28" s="2" t="s">
        <v>361</v>
      </c>
    </row>
    <row r="29" spans="1:11" ht="24" customHeight="1" x14ac:dyDescent="0.35">
      <c r="A29" s="1" t="s">
        <v>389</v>
      </c>
      <c r="B29" s="1" t="s">
        <v>181</v>
      </c>
      <c r="C29" s="1">
        <f>IFERROR(VLOOKUP($B29,TestCases!$A$2:$K$61,6,FALSE),"")</f>
        <v>0</v>
      </c>
      <c r="D29" s="1">
        <f>IFERROR(VLOOKUP($B29,TestCases!$A$2:$K$61,7,FALSE),"")</f>
        <v>0</v>
      </c>
      <c r="E29" s="2" t="str">
        <f>IFERROR(VLOOKUP($B29,TestCases!$A$2:$K$61,3,FALSE),"")</f>
        <v>Chuyển tiền</v>
      </c>
      <c r="F29" s="1" t="s">
        <v>15</v>
      </c>
      <c r="G29" s="2" t="s">
        <v>182</v>
      </c>
      <c r="H29" s="2" t="s">
        <v>690</v>
      </c>
      <c r="I29" s="2"/>
      <c r="J29" s="1" t="s">
        <v>362</v>
      </c>
      <c r="K29" s="2" t="s">
        <v>361</v>
      </c>
    </row>
    <row r="30" spans="1:11" ht="24" customHeight="1" x14ac:dyDescent="0.35">
      <c r="A30" s="1" t="s">
        <v>390</v>
      </c>
      <c r="B30" s="1" t="s">
        <v>186</v>
      </c>
      <c r="C30" s="1" t="str">
        <f>IFERROR(VLOOKUP($B30,TestCases!$A$2:$K$61,6,FALSE),"")</f>
        <v>TestData_Transfer</v>
      </c>
      <c r="D30" s="1" t="str">
        <f>IFERROR(VLOOKUP($B30,TestCases!$A$2:$K$61,7,FALSE),"")</f>
        <v>TRF_01</v>
      </c>
      <c r="E30" s="2" t="str">
        <f>IFERROR(VLOOKUP($B30,TestCases!$A$2:$K$61,3,FALSE),"")</f>
        <v>Chuyển tiền</v>
      </c>
      <c r="F30" s="1" t="s">
        <v>15</v>
      </c>
      <c r="G30" s="2" t="s">
        <v>691</v>
      </c>
      <c r="H30" s="2" t="s">
        <v>692</v>
      </c>
      <c r="I30" s="2"/>
      <c r="J30" s="1" t="s">
        <v>362</v>
      </c>
      <c r="K30" s="2" t="s">
        <v>361</v>
      </c>
    </row>
    <row r="31" spans="1:11" ht="24" customHeight="1" x14ac:dyDescent="0.35">
      <c r="A31" s="1" t="s">
        <v>391</v>
      </c>
      <c r="B31" s="1" t="s">
        <v>193</v>
      </c>
      <c r="C31" s="1" t="str">
        <f>IFERROR(VLOOKUP($B31,TestCases!$A$2:$K$61,6,FALSE),"")</f>
        <v>TestData_Transfer</v>
      </c>
      <c r="D31" s="1" t="str">
        <f>IFERROR(VLOOKUP($B31,TestCases!$A$2:$K$61,7,FALSE),"")</f>
        <v>TRF_02</v>
      </c>
      <c r="E31" s="2" t="str">
        <f>IFERROR(VLOOKUP($B31,TestCases!$A$2:$K$61,3,FALSE),"")</f>
        <v>Chuyển tiền</v>
      </c>
      <c r="F31" s="1" t="s">
        <v>15</v>
      </c>
      <c r="G31" s="2" t="s">
        <v>691</v>
      </c>
      <c r="H31" s="2" t="s">
        <v>693</v>
      </c>
      <c r="I31" s="2"/>
      <c r="J31" s="1" t="s">
        <v>362</v>
      </c>
      <c r="K31" s="2" t="s">
        <v>361</v>
      </c>
    </row>
    <row r="32" spans="1:11" ht="24" customHeight="1" x14ac:dyDescent="0.35">
      <c r="A32" s="1" t="s">
        <v>392</v>
      </c>
      <c r="B32" s="1" t="s">
        <v>198</v>
      </c>
      <c r="C32" s="1" t="str">
        <f>IFERROR(VLOOKUP($B32,TestCases!$A$2:$K$61,6,FALSE),"")</f>
        <v>TestData_Transfer</v>
      </c>
      <c r="D32" s="1" t="str">
        <f>IFERROR(VLOOKUP($B32,TestCases!$A$2:$K$61,7,FALSE),"")</f>
        <v>TRF_03</v>
      </c>
      <c r="E32" s="2" t="str">
        <f>IFERROR(VLOOKUP($B32,TestCases!$A$2:$K$61,3,FALSE),"")</f>
        <v>Chuyển tiền</v>
      </c>
      <c r="F32" s="1" t="s">
        <v>17</v>
      </c>
      <c r="G32" s="2" t="s">
        <v>694</v>
      </c>
      <c r="H32" s="2" t="s">
        <v>695</v>
      </c>
      <c r="I32" s="2"/>
      <c r="J32" s="1" t="s">
        <v>362</v>
      </c>
      <c r="K32" s="2" t="s">
        <v>361</v>
      </c>
    </row>
    <row r="33" spans="1:11" ht="24" customHeight="1" x14ac:dyDescent="0.35">
      <c r="A33" s="1" t="s">
        <v>393</v>
      </c>
      <c r="B33" s="1" t="s">
        <v>203</v>
      </c>
      <c r="C33" s="1" t="str">
        <f>IFERROR(VLOOKUP($B33,TestCases!$A$2:$K$61,6,FALSE),"")</f>
        <v>TestData_Transfer</v>
      </c>
      <c r="D33" s="1" t="str">
        <f>IFERROR(VLOOKUP($B33,TestCases!$A$2:$K$61,7,FALSE),"")</f>
        <v>TRF_04</v>
      </c>
      <c r="E33" s="2" t="str">
        <f>IFERROR(VLOOKUP($B33,TestCases!$A$2:$K$61,3,FALSE),"")</f>
        <v>Chuyển tiền</v>
      </c>
      <c r="F33" s="1" t="s">
        <v>17</v>
      </c>
      <c r="G33" s="2" t="s">
        <v>694</v>
      </c>
      <c r="H33" s="2" t="s">
        <v>696</v>
      </c>
      <c r="I33" s="2"/>
      <c r="J33" s="1" t="s">
        <v>362</v>
      </c>
      <c r="K33" s="2" t="s">
        <v>361</v>
      </c>
    </row>
    <row r="34" spans="1:11" ht="24" customHeight="1" x14ac:dyDescent="0.35">
      <c r="A34" s="1" t="s">
        <v>394</v>
      </c>
      <c r="B34" s="1" t="s">
        <v>207</v>
      </c>
      <c r="C34" s="1" t="str">
        <f>IFERROR(VLOOKUP($B34,TestCases!$A$2:$K$61,6,FALSE),"")</f>
        <v>TestData_Transfer</v>
      </c>
      <c r="D34" s="1" t="str">
        <f>IFERROR(VLOOKUP($B34,TestCases!$A$2:$K$61,7,FALSE),"")</f>
        <v>TRF_05</v>
      </c>
      <c r="E34" s="2" t="str">
        <f>IFERROR(VLOOKUP($B34,TestCases!$A$2:$K$61,3,FALSE),"")</f>
        <v>Chuyển tiền</v>
      </c>
      <c r="F34" s="1" t="s">
        <v>17</v>
      </c>
      <c r="G34" s="2" t="s">
        <v>694</v>
      </c>
      <c r="H34" s="2" t="s">
        <v>697</v>
      </c>
      <c r="I34" s="2"/>
      <c r="J34" s="1" t="s">
        <v>362</v>
      </c>
      <c r="K34" s="2" t="s">
        <v>361</v>
      </c>
    </row>
    <row r="35" spans="1:11" ht="24" customHeight="1" x14ac:dyDescent="0.35">
      <c r="A35" s="1" t="s">
        <v>395</v>
      </c>
      <c r="B35" s="1" t="s">
        <v>211</v>
      </c>
      <c r="C35" s="1" t="str">
        <f>IFERROR(VLOOKUP($B35,TestCases!$A$2:$K$61,6,FALSE),"")</f>
        <v>TestData_Transfer</v>
      </c>
      <c r="D35" s="1" t="str">
        <f>IFERROR(VLOOKUP($B35,TestCases!$A$2:$K$61,7,FALSE),"")</f>
        <v>TRF_06</v>
      </c>
      <c r="E35" s="2" t="str">
        <f>IFERROR(VLOOKUP($B35,TestCases!$A$2:$K$61,3,FALSE),"")</f>
        <v>Chuyển tiền</v>
      </c>
      <c r="F35" s="1" t="s">
        <v>17</v>
      </c>
      <c r="G35" s="2" t="s">
        <v>694</v>
      </c>
      <c r="H35" s="2" t="s">
        <v>698</v>
      </c>
      <c r="I35" s="2"/>
      <c r="J35" s="1" t="s">
        <v>362</v>
      </c>
      <c r="K35" s="2" t="s">
        <v>361</v>
      </c>
    </row>
    <row r="36" spans="1:11" ht="24" customHeight="1" x14ac:dyDescent="0.35">
      <c r="A36" s="1" t="s">
        <v>396</v>
      </c>
      <c r="B36" s="1" t="s">
        <v>216</v>
      </c>
      <c r="C36" s="1" t="str">
        <f>IFERROR(VLOOKUP($B36,TestCases!$A$2:$K$61,6,FALSE),"")</f>
        <v>TestData_Transfer</v>
      </c>
      <c r="D36" s="1" t="str">
        <f>IFERROR(VLOOKUP($B36,TestCases!$A$2:$K$61,7,FALSE),"")</f>
        <v>TRF_01</v>
      </c>
      <c r="E36" s="2" t="str">
        <f>IFERROR(VLOOKUP($B36,TestCases!$A$2:$K$61,3,FALSE),"")</f>
        <v>Chuyển tiền</v>
      </c>
      <c r="F36" s="1" t="s">
        <v>15</v>
      </c>
      <c r="G36" s="2" t="s">
        <v>699</v>
      </c>
      <c r="H36" s="2" t="s">
        <v>700</v>
      </c>
      <c r="I36" s="2"/>
      <c r="J36" s="1" t="s">
        <v>362</v>
      </c>
      <c r="K36" s="2" t="s">
        <v>361</v>
      </c>
    </row>
    <row r="37" spans="1:11" ht="24" customHeight="1" x14ac:dyDescent="0.35">
      <c r="A37" s="1" t="s">
        <v>397</v>
      </c>
      <c r="B37" s="1" t="s">
        <v>221</v>
      </c>
      <c r="C37" s="1" t="str">
        <f>IFERROR(VLOOKUP($B37,TestCases!$A$2:$K$61,6,FALSE),"")</f>
        <v>TestData_Transfer</v>
      </c>
      <c r="D37" s="1" t="str">
        <f>IFERROR(VLOOKUP($B37,TestCases!$A$2:$K$61,7,FALSE),"")</f>
        <v>TRF_01</v>
      </c>
      <c r="E37" s="2" t="str">
        <f>IFERROR(VLOOKUP($B37,TestCases!$A$2:$K$61,3,FALSE),"")</f>
        <v>Chuyển tiền</v>
      </c>
      <c r="F37" s="1" t="s">
        <v>17</v>
      </c>
      <c r="G37" s="2" t="s">
        <v>701</v>
      </c>
      <c r="H37" s="2" t="s">
        <v>702</v>
      </c>
      <c r="I37" s="2"/>
      <c r="J37" s="1" t="s">
        <v>362</v>
      </c>
      <c r="K37" s="2" t="s">
        <v>361</v>
      </c>
    </row>
    <row r="38" spans="1:11" ht="24" customHeight="1" x14ac:dyDescent="0.35">
      <c r="A38" s="1" t="s">
        <v>398</v>
      </c>
      <c r="B38" s="1" t="s">
        <v>225</v>
      </c>
      <c r="C38" s="1">
        <f>IFERROR(VLOOKUP($B38,TestCases!$A$2:$K$61,6,FALSE),"")</f>
        <v>0</v>
      </c>
      <c r="D38" s="1">
        <f>IFERROR(VLOOKUP($B38,TestCases!$A$2:$K$61,7,FALSE),"")</f>
        <v>0</v>
      </c>
      <c r="E38" s="2" t="str">
        <f>IFERROR(VLOOKUP($B38,TestCases!$A$2:$K$61,3,FALSE),"")</f>
        <v>Thanh toán hóa đơn</v>
      </c>
      <c r="F38" s="1" t="s">
        <v>15</v>
      </c>
      <c r="G38" s="2" t="s">
        <v>227</v>
      </c>
      <c r="H38" s="2" t="s">
        <v>703</v>
      </c>
      <c r="I38" s="2"/>
      <c r="J38" s="1" t="s">
        <v>362</v>
      </c>
      <c r="K38" s="2" t="s">
        <v>361</v>
      </c>
    </row>
    <row r="39" spans="1:11" ht="24" customHeight="1" x14ac:dyDescent="0.35">
      <c r="A39" s="1" t="s">
        <v>399</v>
      </c>
      <c r="B39" s="1" t="s">
        <v>230</v>
      </c>
      <c r="C39" s="1">
        <f>IFERROR(VLOOKUP($B39,TestCases!$A$2:$K$61,6,FALSE),"")</f>
        <v>0</v>
      </c>
      <c r="D39" s="1">
        <f>IFERROR(VLOOKUP($B39,TestCases!$A$2:$K$61,7,FALSE),"")</f>
        <v>0</v>
      </c>
      <c r="E39" s="2" t="str">
        <f>IFERROR(VLOOKUP($B39,TestCases!$A$2:$K$61,3,FALSE),"")</f>
        <v>Thanh toán hóa đơn</v>
      </c>
      <c r="F39" s="1" t="s">
        <v>15</v>
      </c>
      <c r="G39" s="2" t="s">
        <v>704</v>
      </c>
      <c r="H39" s="2" t="s">
        <v>705</v>
      </c>
      <c r="I39" s="2"/>
      <c r="J39" s="1" t="s">
        <v>362</v>
      </c>
      <c r="K39" s="2" t="s">
        <v>361</v>
      </c>
    </row>
    <row r="40" spans="1:11" ht="24" customHeight="1" x14ac:dyDescent="0.35">
      <c r="A40" s="1" t="s">
        <v>400</v>
      </c>
      <c r="B40" s="1" t="s">
        <v>235</v>
      </c>
      <c r="C40" s="1" t="str">
        <f>IFERROR(VLOOKUP($B40,TestCases!$A$2:$K$61,6,FALSE),"")</f>
        <v>TestData_BillPay</v>
      </c>
      <c r="D40" s="1" t="str">
        <f>IFERROR(VLOOKUP($B40,TestCases!$A$2:$K$61,7,FALSE),"")</f>
        <v>BILL_01</v>
      </c>
      <c r="E40" s="2" t="str">
        <f>IFERROR(VLOOKUP($B40,TestCases!$A$2:$K$61,3,FALSE),"")</f>
        <v>Thanh toán hóa đơn</v>
      </c>
      <c r="F40" s="1" t="s">
        <v>15</v>
      </c>
      <c r="G40" s="2" t="s">
        <v>706</v>
      </c>
      <c r="H40" s="2" t="s">
        <v>707</v>
      </c>
      <c r="I40" s="2"/>
      <c r="J40" s="1" t="s">
        <v>362</v>
      </c>
      <c r="K40" s="2" t="s">
        <v>361</v>
      </c>
    </row>
    <row r="41" spans="1:11" ht="24" customHeight="1" x14ac:dyDescent="0.35">
      <c r="A41" s="1" t="s">
        <v>401</v>
      </c>
      <c r="B41" s="1" t="s">
        <v>241</v>
      </c>
      <c r="C41" s="1" t="str">
        <f>IFERROR(VLOOKUP($B41,TestCases!$A$2:$K$61,6,FALSE),"")</f>
        <v>TestData_BillPay</v>
      </c>
      <c r="D41" s="1" t="str">
        <f>IFERROR(VLOOKUP($B41,TestCases!$A$2:$K$61,7,FALSE),"")</f>
        <v>BILL_02</v>
      </c>
      <c r="E41" s="2" t="str">
        <f>IFERROR(VLOOKUP($B41,TestCases!$A$2:$K$61,3,FALSE),"")</f>
        <v>Thanh toán hóa đơn</v>
      </c>
      <c r="F41" s="1" t="s">
        <v>17</v>
      </c>
      <c r="G41" s="2" t="s">
        <v>708</v>
      </c>
      <c r="H41" s="2" t="s">
        <v>709</v>
      </c>
      <c r="I41" s="2"/>
      <c r="J41" s="1" t="s">
        <v>362</v>
      </c>
      <c r="K41" s="2" t="s">
        <v>361</v>
      </c>
    </row>
    <row r="42" spans="1:11" ht="24" customHeight="1" x14ac:dyDescent="0.35">
      <c r="A42" s="1" t="s">
        <v>402</v>
      </c>
      <c r="B42" s="1" t="s">
        <v>246</v>
      </c>
      <c r="C42" s="1" t="str">
        <f>IFERROR(VLOOKUP($B42,TestCases!$A$2:$K$61,6,FALSE),"")</f>
        <v>TestData_BillPay</v>
      </c>
      <c r="D42" s="1" t="str">
        <f>IFERROR(VLOOKUP($B42,TestCases!$A$2:$K$61,7,FALSE),"")</f>
        <v>BILL_03</v>
      </c>
      <c r="E42" s="2" t="str">
        <f>IFERROR(VLOOKUP($B42,TestCases!$A$2:$K$61,3,FALSE),"")</f>
        <v>Thanh toán hóa đơn</v>
      </c>
      <c r="F42" s="1" t="s">
        <v>17</v>
      </c>
      <c r="G42" s="2" t="s">
        <v>708</v>
      </c>
      <c r="H42" s="2" t="s">
        <v>710</v>
      </c>
      <c r="I42" s="2"/>
      <c r="J42" s="1" t="s">
        <v>362</v>
      </c>
      <c r="K42" s="2" t="s">
        <v>361</v>
      </c>
    </row>
    <row r="43" spans="1:11" ht="24" customHeight="1" x14ac:dyDescent="0.35">
      <c r="A43" s="1" t="s">
        <v>403</v>
      </c>
      <c r="B43" s="1" t="s">
        <v>251</v>
      </c>
      <c r="C43" s="1" t="str">
        <f>IFERROR(VLOOKUP($B43,TestCases!$A$2:$K$61,6,FALSE),"")</f>
        <v>TestData_BillPay</v>
      </c>
      <c r="D43" s="1" t="str">
        <f>IFERROR(VLOOKUP($B43,TestCases!$A$2:$K$61,7,FALSE),"")</f>
        <v>BILL_04</v>
      </c>
      <c r="E43" s="2" t="str">
        <f>IFERROR(VLOOKUP($B43,TestCases!$A$2:$K$61,3,FALSE),"")</f>
        <v>Thanh toán hóa đơn</v>
      </c>
      <c r="F43" s="1" t="s">
        <v>17</v>
      </c>
      <c r="G43" s="2" t="s">
        <v>708</v>
      </c>
      <c r="H43" s="2" t="s">
        <v>711</v>
      </c>
      <c r="I43" s="2"/>
      <c r="J43" s="1" t="s">
        <v>362</v>
      </c>
      <c r="K43" s="2" t="s">
        <v>361</v>
      </c>
    </row>
    <row r="44" spans="1:11" ht="24" customHeight="1" x14ac:dyDescent="0.35">
      <c r="A44" s="1" t="s">
        <v>404</v>
      </c>
      <c r="B44" s="1" t="s">
        <v>256</v>
      </c>
      <c r="C44" s="1" t="str">
        <f>IFERROR(VLOOKUP($B44,TestCases!$A$2:$K$61,6,FALSE),"")</f>
        <v>TestData_BillPay</v>
      </c>
      <c r="D44" s="1" t="str">
        <f>IFERROR(VLOOKUP($B44,TestCases!$A$2:$K$61,7,FALSE),"")</f>
        <v>BILL_05</v>
      </c>
      <c r="E44" s="2" t="str">
        <f>IFERROR(VLOOKUP($B44,TestCases!$A$2:$K$61,3,FALSE),"")</f>
        <v>Thanh toán hóa đơn</v>
      </c>
      <c r="F44" s="1" t="s">
        <v>17</v>
      </c>
      <c r="G44" s="2" t="s">
        <v>708</v>
      </c>
      <c r="H44" s="2" t="s">
        <v>712</v>
      </c>
      <c r="I44" s="2"/>
      <c r="J44" s="1" t="s">
        <v>362</v>
      </c>
      <c r="K44" s="2" t="s">
        <v>361</v>
      </c>
    </row>
    <row r="45" spans="1:11" ht="24" customHeight="1" x14ac:dyDescent="0.35">
      <c r="A45" s="1" t="s">
        <v>405</v>
      </c>
      <c r="B45" s="1" t="s">
        <v>260</v>
      </c>
      <c r="C45" s="1" t="str">
        <f>IFERROR(VLOOKUP($B45,TestCases!$A$2:$K$61,6,FALSE),"")</f>
        <v>TestData_BillPay</v>
      </c>
      <c r="D45" s="1" t="str">
        <f>IFERROR(VLOOKUP($B45,TestCases!$A$2:$K$61,7,FALSE),"")</f>
        <v>BILL_01</v>
      </c>
      <c r="E45" s="2" t="str">
        <f>IFERROR(VLOOKUP($B45,TestCases!$A$2:$K$61,3,FALSE),"")</f>
        <v>Thanh toán hóa đơn</v>
      </c>
      <c r="F45" s="1" t="s">
        <v>15</v>
      </c>
      <c r="G45" s="2" t="s">
        <v>713</v>
      </c>
      <c r="H45" s="2" t="s">
        <v>714</v>
      </c>
      <c r="I45" s="2"/>
      <c r="J45" s="1" t="s">
        <v>362</v>
      </c>
      <c r="K45" s="2" t="s">
        <v>361</v>
      </c>
    </row>
    <row r="46" spans="1:11" ht="24" customHeight="1" x14ac:dyDescent="0.35">
      <c r="A46" s="1" t="s">
        <v>406</v>
      </c>
      <c r="B46" s="1" t="s">
        <v>265</v>
      </c>
      <c r="C46" s="1">
        <f>IFERROR(VLOOKUP($B46,TestCases!$A$2:$K$61,6,FALSE),"")</f>
        <v>0</v>
      </c>
      <c r="D46" s="1">
        <f>IFERROR(VLOOKUP($B46,TestCases!$A$2:$K$61,7,FALSE),"")</f>
        <v>0</v>
      </c>
      <c r="E46" s="2" t="str">
        <f>IFERROR(VLOOKUP($B46,TestCases!$A$2:$K$61,3,FALSE),"")</f>
        <v>Tìm giao dịch</v>
      </c>
      <c r="F46" s="1" t="s">
        <v>15</v>
      </c>
      <c r="G46" s="2" t="s">
        <v>267</v>
      </c>
      <c r="H46" s="2" t="s">
        <v>715</v>
      </c>
      <c r="I46" s="2"/>
      <c r="J46" s="1" t="s">
        <v>362</v>
      </c>
      <c r="K46" s="2" t="s">
        <v>361</v>
      </c>
    </row>
    <row r="47" spans="1:11" ht="24" customHeight="1" x14ac:dyDescent="0.35">
      <c r="A47" s="1" t="s">
        <v>407</v>
      </c>
      <c r="B47" s="1" t="s">
        <v>270</v>
      </c>
      <c r="C47" s="1">
        <f>IFERROR(VLOOKUP($B47,TestCases!$A$2:$K$61,6,FALSE),"")</f>
        <v>0</v>
      </c>
      <c r="D47" s="1">
        <f>IFERROR(VLOOKUP($B47,TestCases!$A$2:$K$61,7,FALSE),"")</f>
        <v>0</v>
      </c>
      <c r="E47" s="2" t="str">
        <f>IFERROR(VLOOKUP($B47,TestCases!$A$2:$K$61,3,FALSE),"")</f>
        <v>Tìm giao dịch</v>
      </c>
      <c r="F47" s="1" t="s">
        <v>15</v>
      </c>
      <c r="G47" s="2" t="s">
        <v>716</v>
      </c>
      <c r="H47" s="2" t="s">
        <v>717</v>
      </c>
      <c r="I47" s="2"/>
      <c r="J47" s="1" t="s">
        <v>362</v>
      </c>
      <c r="K47" s="2" t="s">
        <v>361</v>
      </c>
    </row>
    <row r="48" spans="1:11" ht="24" customHeight="1" x14ac:dyDescent="0.35">
      <c r="A48" s="1" t="s">
        <v>408</v>
      </c>
      <c r="B48" s="1" t="s">
        <v>275</v>
      </c>
      <c r="C48" s="1" t="str">
        <f>IFERROR(VLOOKUP($B48,TestCases!$A$2:$K$61,6,FALSE),"")</f>
        <v>TestData_FindTransactions</v>
      </c>
      <c r="D48" s="1" t="str">
        <f>IFERROR(VLOOKUP($B48,TestCases!$A$2:$K$61,7,FALSE),"")</f>
        <v>FIND_01</v>
      </c>
      <c r="E48" s="2" t="str">
        <f>IFERROR(VLOOKUP($B48,TestCases!$A$2:$K$61,3,FALSE),"")</f>
        <v>Tìm giao dịch</v>
      </c>
      <c r="F48" s="1" t="s">
        <v>15</v>
      </c>
      <c r="G48" s="2" t="s">
        <v>718</v>
      </c>
      <c r="H48" s="2" t="s">
        <v>719</v>
      </c>
      <c r="I48" s="2"/>
      <c r="J48" s="1" t="s">
        <v>362</v>
      </c>
      <c r="K48" s="2" t="s">
        <v>361</v>
      </c>
    </row>
    <row r="49" spans="1:11" ht="24" customHeight="1" x14ac:dyDescent="0.35">
      <c r="A49" s="1" t="s">
        <v>409</v>
      </c>
      <c r="B49" s="1" t="s">
        <v>282</v>
      </c>
      <c r="C49" s="1" t="str">
        <f>IFERROR(VLOOKUP($B49,TestCases!$A$2:$K$61,6,FALSE),"")</f>
        <v>TestData_FindTransactions</v>
      </c>
      <c r="D49" s="1" t="str">
        <f>IFERROR(VLOOKUP($B49,TestCases!$A$2:$K$61,7,FALSE),"")</f>
        <v>FIND_02</v>
      </c>
      <c r="E49" s="2" t="str">
        <f>IFERROR(VLOOKUP($B49,TestCases!$A$2:$K$61,3,FALSE),"")</f>
        <v>Tìm giao dịch</v>
      </c>
      <c r="F49" s="1" t="s">
        <v>15</v>
      </c>
      <c r="G49" s="2" t="s">
        <v>718</v>
      </c>
      <c r="H49" s="2" t="s">
        <v>720</v>
      </c>
      <c r="I49" s="2"/>
      <c r="J49" s="1" t="s">
        <v>362</v>
      </c>
      <c r="K49" s="2" t="s">
        <v>361</v>
      </c>
    </row>
    <row r="50" spans="1:11" ht="24" customHeight="1" x14ac:dyDescent="0.35">
      <c r="A50" s="1" t="s">
        <v>410</v>
      </c>
      <c r="B50" s="1" t="s">
        <v>288</v>
      </c>
      <c r="C50" s="1" t="str">
        <f>IFERROR(VLOOKUP($B50,TestCases!$A$2:$K$61,6,FALSE),"")</f>
        <v>TestData_FindTransactions</v>
      </c>
      <c r="D50" s="1" t="str">
        <f>IFERROR(VLOOKUP($B50,TestCases!$A$2:$K$61,7,FALSE),"")</f>
        <v>FIND_03</v>
      </c>
      <c r="E50" s="2" t="str">
        <f>IFERROR(VLOOKUP($B50,TestCases!$A$2:$K$61,3,FALSE),"")</f>
        <v>Tìm giao dịch</v>
      </c>
      <c r="F50" s="1" t="s">
        <v>15</v>
      </c>
      <c r="G50" s="2" t="s">
        <v>718</v>
      </c>
      <c r="H50" s="2" t="s">
        <v>721</v>
      </c>
      <c r="I50" s="2"/>
      <c r="J50" s="1" t="s">
        <v>362</v>
      </c>
      <c r="K50" s="2" t="s">
        <v>361</v>
      </c>
    </row>
    <row r="51" spans="1:11" ht="24" customHeight="1" x14ac:dyDescent="0.35">
      <c r="A51" s="1" t="s">
        <v>411</v>
      </c>
      <c r="B51" s="1" t="s">
        <v>294</v>
      </c>
      <c r="C51" s="1" t="str">
        <f>IFERROR(VLOOKUP($B51,TestCases!$A$2:$K$61,6,FALSE),"")</f>
        <v>TestData_FindTransactions</v>
      </c>
      <c r="D51" s="1" t="str">
        <f>IFERROR(VLOOKUP($B51,TestCases!$A$2:$K$61,7,FALSE),"")</f>
        <v>FIND_04</v>
      </c>
      <c r="E51" s="2" t="str">
        <f>IFERROR(VLOOKUP($B51,TestCases!$A$2:$K$61,3,FALSE),"")</f>
        <v>Tìm giao dịch</v>
      </c>
      <c r="F51" s="1" t="s">
        <v>17</v>
      </c>
      <c r="G51" s="2" t="s">
        <v>722</v>
      </c>
      <c r="H51" s="2" t="s">
        <v>723</v>
      </c>
      <c r="I51" s="2"/>
      <c r="J51" s="1" t="s">
        <v>362</v>
      </c>
      <c r="K51" s="2" t="s">
        <v>361</v>
      </c>
    </row>
    <row r="52" spans="1:11" ht="24" customHeight="1" x14ac:dyDescent="0.35">
      <c r="A52" s="1" t="s">
        <v>412</v>
      </c>
      <c r="B52" s="1" t="s">
        <v>299</v>
      </c>
      <c r="C52" s="1" t="str">
        <f>IFERROR(VLOOKUP($B52,TestCases!$A$2:$K$61,6,FALSE),"")</f>
        <v>TestData_FindTransactions</v>
      </c>
      <c r="D52" s="1" t="str">
        <f>IFERROR(VLOOKUP($B52,TestCases!$A$2:$K$61,7,FALSE),"")</f>
        <v>FIND_05</v>
      </c>
      <c r="E52" s="2" t="str">
        <f>IFERROR(VLOOKUP($B52,TestCases!$A$2:$K$61,3,FALSE),"")</f>
        <v>Tìm giao dịch</v>
      </c>
      <c r="F52" s="1" t="s">
        <v>17</v>
      </c>
      <c r="G52" s="2" t="s">
        <v>722</v>
      </c>
      <c r="H52" s="2" t="s">
        <v>724</v>
      </c>
      <c r="I52" s="2"/>
      <c r="J52" s="1" t="s">
        <v>362</v>
      </c>
      <c r="K52" s="2" t="s">
        <v>361</v>
      </c>
    </row>
    <row r="53" spans="1:11" ht="24" customHeight="1" x14ac:dyDescent="0.35">
      <c r="A53" s="1" t="s">
        <v>413</v>
      </c>
      <c r="B53" s="1" t="s">
        <v>304</v>
      </c>
      <c r="C53" s="1">
        <f>IFERROR(VLOOKUP($B53,TestCases!$A$2:$K$61,6,FALSE),"")</f>
        <v>0</v>
      </c>
      <c r="D53" s="1">
        <f>IFERROR(VLOOKUP($B53,TestCases!$A$2:$K$61,7,FALSE),"")</f>
        <v>0</v>
      </c>
      <c r="E53" s="2" t="str">
        <f>IFERROR(VLOOKUP($B53,TestCases!$A$2:$K$61,3,FALSE),"")</f>
        <v>Update Contact Info</v>
      </c>
      <c r="F53" s="1" t="s">
        <v>15</v>
      </c>
      <c r="G53" s="2" t="s">
        <v>306</v>
      </c>
      <c r="H53" s="2" t="s">
        <v>725</v>
      </c>
      <c r="I53" s="2"/>
      <c r="J53" s="1" t="s">
        <v>362</v>
      </c>
      <c r="K53" s="2" t="s">
        <v>361</v>
      </c>
    </row>
    <row r="54" spans="1:11" ht="24" customHeight="1" x14ac:dyDescent="0.35">
      <c r="A54" s="1" t="s">
        <v>414</v>
      </c>
      <c r="B54" s="1" t="s">
        <v>309</v>
      </c>
      <c r="C54" s="1">
        <f>IFERROR(VLOOKUP($B54,TestCases!$A$2:$K$61,6,FALSE),"")</f>
        <v>0</v>
      </c>
      <c r="D54" s="1">
        <f>IFERROR(VLOOKUP($B54,TestCases!$A$2:$K$61,7,FALSE),"")</f>
        <v>0</v>
      </c>
      <c r="E54" s="2" t="str">
        <f>IFERROR(VLOOKUP($B54,TestCases!$A$2:$K$61,3,FALSE),"")</f>
        <v>Update Contact Info</v>
      </c>
      <c r="F54" s="1" t="s">
        <v>17</v>
      </c>
      <c r="G54" s="2" t="s">
        <v>726</v>
      </c>
      <c r="H54" s="2" t="s">
        <v>727</v>
      </c>
      <c r="I54" s="2"/>
      <c r="J54" s="1" t="s">
        <v>362</v>
      </c>
      <c r="K54" s="2" t="s">
        <v>361</v>
      </c>
    </row>
    <row r="55" spans="1:11" ht="24" customHeight="1" x14ac:dyDescent="0.35">
      <c r="A55" s="1" t="s">
        <v>415</v>
      </c>
      <c r="B55" s="1" t="s">
        <v>314</v>
      </c>
      <c r="C55" s="1" t="str">
        <f>IFERROR(VLOOKUP($B55,TestCases!$A$2:$K$61,6,FALSE),"")</f>
        <v>TestData_UpdateContact</v>
      </c>
      <c r="D55" s="1" t="str">
        <f>IFERROR(VLOOKUP($B55,TestCases!$A$2:$K$61,7,FALSE),"")</f>
        <v>UPD_01</v>
      </c>
      <c r="E55" s="2" t="str">
        <f>IFERROR(VLOOKUP($B55,TestCases!$A$2:$K$61,3,FALSE),"")</f>
        <v>Update Contact Info</v>
      </c>
      <c r="F55" s="1" t="s">
        <v>15</v>
      </c>
      <c r="G55" s="2" t="s">
        <v>728</v>
      </c>
      <c r="H55" s="2" t="s">
        <v>729</v>
      </c>
      <c r="I55" s="2"/>
      <c r="J55" s="1" t="s">
        <v>362</v>
      </c>
      <c r="K55" s="2" t="s">
        <v>361</v>
      </c>
    </row>
    <row r="56" spans="1:11" ht="24" customHeight="1" x14ac:dyDescent="0.35">
      <c r="A56" s="1" t="s">
        <v>416</v>
      </c>
      <c r="B56" s="1" t="s">
        <v>320</v>
      </c>
      <c r="C56" s="1" t="str">
        <f>IFERROR(VLOOKUP($B56,TestCases!$A$2:$K$61,6,FALSE),"")</f>
        <v>TestData_UpdateContact</v>
      </c>
      <c r="D56" s="1" t="str">
        <f>IFERROR(VLOOKUP($B56,TestCases!$A$2:$K$61,7,FALSE),"")</f>
        <v>UPD_02</v>
      </c>
      <c r="E56" s="2" t="str">
        <f>IFERROR(VLOOKUP($B56,TestCases!$A$2:$K$61,3,FALSE),"")</f>
        <v>Update Contact Info</v>
      </c>
      <c r="F56" s="1" t="s">
        <v>17</v>
      </c>
      <c r="G56" s="2" t="s">
        <v>730</v>
      </c>
      <c r="H56" s="2" t="s">
        <v>731</v>
      </c>
      <c r="I56" s="2"/>
      <c r="J56" s="1" t="s">
        <v>362</v>
      </c>
      <c r="K56" s="2" t="s">
        <v>361</v>
      </c>
    </row>
    <row r="57" spans="1:11" ht="24" customHeight="1" x14ac:dyDescent="0.35">
      <c r="A57" s="1" t="s">
        <v>417</v>
      </c>
      <c r="B57" s="1" t="s">
        <v>325</v>
      </c>
      <c r="C57" s="1" t="str">
        <f>IFERROR(VLOOKUP($B57,TestCases!$A$2:$K$61,6,FALSE),"")</f>
        <v>TestData_UpdateContact</v>
      </c>
      <c r="D57" s="1" t="str">
        <f>IFERROR(VLOOKUP($B57,TestCases!$A$2:$K$61,7,FALSE),"")</f>
        <v>UPD_03</v>
      </c>
      <c r="E57" s="2" t="str">
        <f>IFERROR(VLOOKUP($B57,TestCases!$A$2:$K$61,3,FALSE),"")</f>
        <v>Update Contact Info</v>
      </c>
      <c r="F57" s="1" t="s">
        <v>17</v>
      </c>
      <c r="G57" s="2" t="s">
        <v>732</v>
      </c>
      <c r="H57" s="2" t="s">
        <v>733</v>
      </c>
      <c r="I57" s="2"/>
      <c r="J57" s="1" t="s">
        <v>362</v>
      </c>
      <c r="K57" s="2" t="s">
        <v>361</v>
      </c>
    </row>
    <row r="58" spans="1:11" ht="24" customHeight="1" x14ac:dyDescent="0.35">
      <c r="A58" s="1" t="s">
        <v>418</v>
      </c>
      <c r="B58" s="1" t="s">
        <v>331</v>
      </c>
      <c r="C58" s="1">
        <f>IFERROR(VLOOKUP($B58,TestCases!$A$2:$K$61,6,FALSE),"")</f>
        <v>0</v>
      </c>
      <c r="D58" s="1">
        <f>IFERROR(VLOOKUP($B58,TestCases!$A$2:$K$61,7,FALSE),"")</f>
        <v>0</v>
      </c>
      <c r="E58" s="2" t="str">
        <f>IFERROR(VLOOKUP($B58,TestCases!$A$2:$K$61,3,FALSE),"")</f>
        <v>Yêu cầu vay vốn</v>
      </c>
      <c r="F58" s="1" t="s">
        <v>15</v>
      </c>
      <c r="G58" s="2" t="s">
        <v>333</v>
      </c>
      <c r="H58" s="2" t="s">
        <v>734</v>
      </c>
      <c r="I58" s="2"/>
      <c r="J58" s="1" t="s">
        <v>362</v>
      </c>
      <c r="K58" s="2" t="s">
        <v>361</v>
      </c>
    </row>
    <row r="59" spans="1:11" ht="24" customHeight="1" x14ac:dyDescent="0.35">
      <c r="A59" s="1" t="s">
        <v>419</v>
      </c>
      <c r="B59" s="1" t="s">
        <v>336</v>
      </c>
      <c r="C59" s="1" t="str">
        <f>IFERROR(VLOOKUP($B59,TestCases!$A$2:$K$61,6,FALSE),"")</f>
        <v>TestData_RequestLoan</v>
      </c>
      <c r="D59" s="1" t="str">
        <f>IFERROR(VLOOKUP($B59,TestCases!$A$2:$K$61,7,FALSE),"")</f>
        <v>LOAN_01</v>
      </c>
      <c r="E59" s="2" t="str">
        <f>IFERROR(VLOOKUP($B59,TestCases!$A$2:$K$61,3,FALSE),"")</f>
        <v>Yêu cầu vay vốn</v>
      </c>
      <c r="F59" s="1" t="s">
        <v>15</v>
      </c>
      <c r="G59" s="2" t="s">
        <v>735</v>
      </c>
      <c r="H59" s="2" t="s">
        <v>736</v>
      </c>
      <c r="I59" s="2"/>
      <c r="J59" s="1" t="s">
        <v>362</v>
      </c>
      <c r="K59" s="2" t="s">
        <v>361</v>
      </c>
    </row>
    <row r="60" spans="1:11" ht="24" customHeight="1" x14ac:dyDescent="0.35">
      <c r="A60" s="1" t="s">
        <v>420</v>
      </c>
      <c r="B60" s="1" t="s">
        <v>343</v>
      </c>
      <c r="C60" s="1" t="str">
        <f>IFERROR(VLOOKUP($B60,TestCases!$A$2:$K$61,6,FALSE),"")</f>
        <v>TestData_RequestLoan</v>
      </c>
      <c r="D60" s="1" t="str">
        <f>IFERROR(VLOOKUP($B60,TestCases!$A$2:$K$61,7,FALSE),"")</f>
        <v>LOAN_02</v>
      </c>
      <c r="E60" s="2" t="str">
        <f>IFERROR(VLOOKUP($B60,TestCases!$A$2:$K$61,3,FALSE),"")</f>
        <v>Yêu cầu vay vốn</v>
      </c>
      <c r="F60" s="1" t="s">
        <v>17</v>
      </c>
      <c r="G60" s="2" t="s">
        <v>737</v>
      </c>
      <c r="H60" s="2" t="s">
        <v>738</v>
      </c>
      <c r="I60" s="2"/>
      <c r="J60" s="1" t="s">
        <v>362</v>
      </c>
      <c r="K60" s="2" t="s">
        <v>361</v>
      </c>
    </row>
    <row r="61" spans="1:11" ht="24" customHeight="1" x14ac:dyDescent="0.35">
      <c r="A61" s="1" t="s">
        <v>421</v>
      </c>
      <c r="B61" s="1" t="s">
        <v>349</v>
      </c>
      <c r="C61" s="1" t="str">
        <f>IFERROR(VLOOKUP($B61,TestCases!$A$2:$K$61,6,FALSE),"")</f>
        <v>TestData_RequestLoan</v>
      </c>
      <c r="D61" s="1" t="str">
        <f>IFERROR(VLOOKUP($B61,TestCases!$A$2:$K$61,7,FALSE),"")</f>
        <v>LOAN_03</v>
      </c>
      <c r="E61" s="2" t="str">
        <f>IFERROR(VLOOKUP($B61,TestCases!$A$2:$K$61,3,FALSE),"")</f>
        <v>Yêu cầu vay vốn</v>
      </c>
      <c r="F61" s="1" t="s">
        <v>17</v>
      </c>
      <c r="G61" s="2" t="s">
        <v>737</v>
      </c>
      <c r="H61" s="2" t="s">
        <v>739</v>
      </c>
      <c r="I61" s="2"/>
      <c r="J61" s="1" t="s">
        <v>362</v>
      </c>
      <c r="K61" s="2" t="s">
        <v>361</v>
      </c>
    </row>
  </sheetData>
  <conditionalFormatting sqref="F2:F61">
    <cfRule type="expression" dxfId="3" priority="1">
      <formula>F2="Pass"</formula>
    </cfRule>
    <cfRule type="expression" dxfId="2" priority="2">
      <formula>F2="Fail"</formula>
    </cfRule>
    <cfRule type="expression" dxfId="1" priority="3">
      <formula>F2="Blocked"</formula>
    </cfRule>
    <cfRule type="expression" dxfId="0" priority="4">
      <formula>F2="Not Run"</formula>
    </cfRule>
  </conditionalFormatting>
  <dataValidations count="2">
    <dataValidation type="list" sqref="F2:F61" xr:uid="{00000000-0002-0000-0300-000000000000}">
      <formula1>"Pass,Fail,Blocked,Not Run"</formula1>
    </dataValidation>
    <dataValidation type="list" allowBlank="1" sqref="J2:J61" xr:uid="{00000000-0002-0000-0300-000001000000}">
      <formula1>"Chrome,Edge,Firefox"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2" sqref="D2:D5"/>
    </sheetView>
  </sheetViews>
  <sheetFormatPr defaultRowHeight="14.5" x14ac:dyDescent="0.35"/>
  <cols>
    <col min="1" max="1" width="13" customWidth="1"/>
    <col min="2" max="2" width="15" customWidth="1"/>
    <col min="3" max="4" width="12" customWidth="1"/>
  </cols>
  <sheetData>
    <row r="1" spans="1:4" x14ac:dyDescent="0.35">
      <c r="A1" s="6" t="s">
        <v>31</v>
      </c>
      <c r="B1" s="6" t="s">
        <v>422</v>
      </c>
      <c r="C1" s="6" t="s">
        <v>423</v>
      </c>
      <c r="D1" s="6" t="s">
        <v>424</v>
      </c>
    </row>
    <row r="2" spans="1:4" x14ac:dyDescent="0.35">
      <c r="A2" s="1" t="s">
        <v>86</v>
      </c>
      <c r="B2" s="9" t="s">
        <v>425</v>
      </c>
      <c r="C2" s="9" t="s">
        <v>426</v>
      </c>
      <c r="D2" s="9" t="s">
        <v>15</v>
      </c>
    </row>
    <row r="3" spans="1:4" x14ac:dyDescent="0.35">
      <c r="A3" s="1" t="s">
        <v>96</v>
      </c>
      <c r="B3" s="9" t="s">
        <v>427</v>
      </c>
      <c r="C3" s="9" t="s">
        <v>426</v>
      </c>
      <c r="D3" s="9" t="s">
        <v>17</v>
      </c>
    </row>
    <row r="4" spans="1:4" x14ac:dyDescent="0.35">
      <c r="A4" s="1" t="s">
        <v>101</v>
      </c>
      <c r="B4" s="9" t="s">
        <v>425</v>
      </c>
      <c r="C4" s="9" t="s">
        <v>428</v>
      </c>
      <c r="D4" s="9" t="s">
        <v>17</v>
      </c>
    </row>
    <row r="5" spans="1:4" x14ac:dyDescent="0.35">
      <c r="A5" s="1" t="s">
        <v>105</v>
      </c>
      <c r="B5" s="9" t="s">
        <v>361</v>
      </c>
      <c r="C5" s="9" t="s">
        <v>361</v>
      </c>
      <c r="D5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activeCell="B2" sqref="B2:M5"/>
    </sheetView>
  </sheetViews>
  <sheetFormatPr defaultRowHeight="14.5" x14ac:dyDescent="0.35"/>
  <cols>
    <col min="1" max="1" width="13" customWidth="1"/>
    <col min="2" max="9" width="12" customWidth="1"/>
    <col min="10" max="10" width="17" customWidth="1"/>
    <col min="11" max="11" width="12" customWidth="1"/>
    <col min="12" max="12" width="17" customWidth="1"/>
    <col min="13" max="13" width="12" customWidth="1"/>
  </cols>
  <sheetData>
    <row r="1" spans="1:13" x14ac:dyDescent="0.35">
      <c r="A1" s="6" t="s">
        <v>31</v>
      </c>
      <c r="B1" s="6" t="s">
        <v>429</v>
      </c>
      <c r="C1" s="6" t="s">
        <v>430</v>
      </c>
      <c r="D1" s="6" t="s">
        <v>431</v>
      </c>
      <c r="E1" s="6" t="s">
        <v>432</v>
      </c>
      <c r="F1" s="6" t="s">
        <v>433</v>
      </c>
      <c r="G1" s="6" t="s">
        <v>434</v>
      </c>
      <c r="H1" s="6" t="s">
        <v>435</v>
      </c>
      <c r="I1" s="6" t="s">
        <v>436</v>
      </c>
      <c r="J1" s="6" t="s">
        <v>422</v>
      </c>
      <c r="K1" s="6" t="s">
        <v>423</v>
      </c>
      <c r="L1" s="6" t="s">
        <v>437</v>
      </c>
      <c r="M1" s="6" t="s">
        <v>424</v>
      </c>
    </row>
    <row r="2" spans="1:13" x14ac:dyDescent="0.35">
      <c r="A2" s="1" t="s">
        <v>58</v>
      </c>
      <c r="B2" s="9" t="s">
        <v>438</v>
      </c>
      <c r="C2" s="9" t="s">
        <v>439</v>
      </c>
      <c r="D2" s="9" t="s">
        <v>440</v>
      </c>
      <c r="E2" s="9" t="s">
        <v>441</v>
      </c>
      <c r="F2" s="9" t="s">
        <v>441</v>
      </c>
      <c r="G2" s="9" t="s">
        <v>442</v>
      </c>
      <c r="H2" s="9" t="s">
        <v>443</v>
      </c>
      <c r="I2" s="9" t="s">
        <v>426</v>
      </c>
      <c r="J2" s="9" t="s">
        <v>444</v>
      </c>
      <c r="K2" s="9" t="s">
        <v>426</v>
      </c>
      <c r="L2" s="9" t="s">
        <v>426</v>
      </c>
      <c r="M2" s="9" t="s">
        <v>15</v>
      </c>
    </row>
    <row r="3" spans="1:13" x14ac:dyDescent="0.35">
      <c r="A3" s="1" t="s">
        <v>64</v>
      </c>
      <c r="B3" s="9" t="s">
        <v>361</v>
      </c>
      <c r="C3" s="9" t="s">
        <v>439</v>
      </c>
      <c r="D3" s="9" t="s">
        <v>440</v>
      </c>
      <c r="E3" s="9" t="s">
        <v>441</v>
      </c>
      <c r="F3" s="9" t="s">
        <v>441</v>
      </c>
      <c r="G3" s="9" t="s">
        <v>442</v>
      </c>
      <c r="H3" s="9" t="s">
        <v>443</v>
      </c>
      <c r="I3" s="9" t="s">
        <v>426</v>
      </c>
      <c r="J3" s="9" t="s">
        <v>361</v>
      </c>
      <c r="K3" s="9" t="s">
        <v>426</v>
      </c>
      <c r="L3" s="9" t="s">
        <v>426</v>
      </c>
      <c r="M3" s="9" t="s">
        <v>17</v>
      </c>
    </row>
    <row r="4" spans="1:13" x14ac:dyDescent="0.35">
      <c r="A4" s="1" t="s">
        <v>69</v>
      </c>
      <c r="B4" s="9" t="s">
        <v>438</v>
      </c>
      <c r="C4" s="9" t="s">
        <v>439</v>
      </c>
      <c r="D4" s="9" t="s">
        <v>440</v>
      </c>
      <c r="E4" s="9" t="s">
        <v>441</v>
      </c>
      <c r="F4" s="9" t="s">
        <v>441</v>
      </c>
      <c r="G4" s="9" t="s">
        <v>442</v>
      </c>
      <c r="H4" s="9" t="s">
        <v>443</v>
      </c>
      <c r="I4" s="9" t="s">
        <v>426</v>
      </c>
      <c r="J4" s="9" t="s">
        <v>445</v>
      </c>
      <c r="K4" s="9" t="s">
        <v>426</v>
      </c>
      <c r="L4" s="9" t="s">
        <v>446</v>
      </c>
      <c r="M4" s="9" t="s">
        <v>17</v>
      </c>
    </row>
    <row r="5" spans="1:13" x14ac:dyDescent="0.35">
      <c r="A5" s="1" t="s">
        <v>75</v>
      </c>
      <c r="B5" s="9" t="s">
        <v>438</v>
      </c>
      <c r="C5" s="9" t="s">
        <v>439</v>
      </c>
      <c r="D5" s="9" t="s">
        <v>440</v>
      </c>
      <c r="E5" s="9" t="s">
        <v>441</v>
      </c>
      <c r="F5" s="9" t="s">
        <v>441</v>
      </c>
      <c r="G5" s="9" t="s">
        <v>442</v>
      </c>
      <c r="H5" s="9" t="s">
        <v>443</v>
      </c>
      <c r="I5" s="9" t="s">
        <v>426</v>
      </c>
      <c r="J5" s="9" t="s">
        <v>447</v>
      </c>
      <c r="K5" s="9" t="s">
        <v>426</v>
      </c>
      <c r="L5" s="9" t="s">
        <v>426</v>
      </c>
      <c r="M5" s="9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selection activeCell="B2" sqref="B2:D3"/>
    </sheetView>
  </sheetViews>
  <sheetFormatPr defaultRowHeight="14.5" x14ac:dyDescent="0.35"/>
  <cols>
    <col min="1" max="3" width="13" customWidth="1"/>
    <col min="4" max="4" width="12" customWidth="1"/>
  </cols>
  <sheetData>
    <row r="1" spans="1:4" x14ac:dyDescent="0.35">
      <c r="A1" s="6" t="s">
        <v>31</v>
      </c>
      <c r="B1" s="6" t="s">
        <v>448</v>
      </c>
      <c r="C1" s="6" t="s">
        <v>449</v>
      </c>
      <c r="D1" s="6" t="s">
        <v>424</v>
      </c>
    </row>
    <row r="2" spans="1:4" x14ac:dyDescent="0.35">
      <c r="A2" s="1" t="s">
        <v>158</v>
      </c>
      <c r="B2" s="9" t="s">
        <v>450</v>
      </c>
      <c r="C2" s="9" t="s">
        <v>451</v>
      </c>
      <c r="D2" s="9" t="s">
        <v>15</v>
      </c>
    </row>
    <row r="3" spans="1:4" x14ac:dyDescent="0.35">
      <c r="A3" s="1" t="s">
        <v>163</v>
      </c>
      <c r="B3" s="9" t="s">
        <v>452</v>
      </c>
      <c r="C3" s="9" t="s">
        <v>451</v>
      </c>
      <c r="D3" s="9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B2" sqref="B2:E7"/>
    </sheetView>
  </sheetViews>
  <sheetFormatPr defaultRowHeight="14.5" x14ac:dyDescent="0.35"/>
  <cols>
    <col min="1" max="2" width="13" customWidth="1"/>
    <col min="3" max="5" width="12" customWidth="1"/>
  </cols>
  <sheetData>
    <row r="1" spans="1:5" x14ac:dyDescent="0.35">
      <c r="A1" s="6" t="s">
        <v>31</v>
      </c>
      <c r="B1" s="6" t="s">
        <v>449</v>
      </c>
      <c r="C1" s="6" t="s">
        <v>453</v>
      </c>
      <c r="D1" s="6" t="s">
        <v>454</v>
      </c>
      <c r="E1" s="6" t="s">
        <v>424</v>
      </c>
    </row>
    <row r="2" spans="1:5" x14ac:dyDescent="0.35">
      <c r="A2" s="1" t="s">
        <v>190</v>
      </c>
      <c r="B2" s="9" t="s">
        <v>451</v>
      </c>
      <c r="C2" s="9" t="s">
        <v>455</v>
      </c>
      <c r="D2" s="9" t="s">
        <v>456</v>
      </c>
      <c r="E2" s="9" t="s">
        <v>15</v>
      </c>
    </row>
    <row r="3" spans="1:5" x14ac:dyDescent="0.35">
      <c r="A3" s="1" t="s">
        <v>195</v>
      </c>
      <c r="B3" s="9" t="s">
        <v>455</v>
      </c>
      <c r="C3" s="9" t="s">
        <v>451</v>
      </c>
      <c r="D3" s="9" t="s">
        <v>457</v>
      </c>
      <c r="E3" s="9" t="s">
        <v>15</v>
      </c>
    </row>
    <row r="4" spans="1:5" x14ac:dyDescent="0.35">
      <c r="A4" s="1" t="s">
        <v>200</v>
      </c>
      <c r="B4" s="9" t="s">
        <v>451</v>
      </c>
      <c r="C4" s="9" t="s">
        <v>455</v>
      </c>
      <c r="D4" s="9" t="s">
        <v>361</v>
      </c>
      <c r="E4" s="9" t="s">
        <v>17</v>
      </c>
    </row>
    <row r="5" spans="1:5" x14ac:dyDescent="0.35">
      <c r="A5" s="1" t="s">
        <v>205</v>
      </c>
      <c r="B5" s="9" t="s">
        <v>451</v>
      </c>
      <c r="C5" s="9" t="s">
        <v>455</v>
      </c>
      <c r="D5" s="9" t="s">
        <v>458</v>
      </c>
      <c r="E5" s="9" t="s">
        <v>17</v>
      </c>
    </row>
    <row r="6" spans="1:5" x14ac:dyDescent="0.35">
      <c r="A6" s="1" t="s">
        <v>209</v>
      </c>
      <c r="B6" s="9" t="s">
        <v>451</v>
      </c>
      <c r="C6" s="9" t="s">
        <v>455</v>
      </c>
      <c r="D6" s="9" t="s">
        <v>459</v>
      </c>
      <c r="E6" s="9" t="s">
        <v>17</v>
      </c>
    </row>
    <row r="7" spans="1:5" x14ac:dyDescent="0.35">
      <c r="A7" s="1" t="s">
        <v>213</v>
      </c>
      <c r="B7" s="9" t="s">
        <v>451</v>
      </c>
      <c r="C7" s="9" t="s">
        <v>451</v>
      </c>
      <c r="D7" s="9" t="s">
        <v>456</v>
      </c>
      <c r="E7" s="9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"/>
  <sheetViews>
    <sheetView workbookViewId="0">
      <selection activeCell="B2" sqref="B2:K6"/>
    </sheetView>
  </sheetViews>
  <sheetFormatPr defaultRowHeight="14.5" x14ac:dyDescent="0.35"/>
  <cols>
    <col min="1" max="1" width="13" customWidth="1"/>
    <col min="2" max="2" width="12" customWidth="1"/>
    <col min="3" max="3" width="18" customWidth="1"/>
    <col min="4" max="8" width="12" customWidth="1"/>
    <col min="9" max="9" width="15" customWidth="1"/>
    <col min="10" max="11" width="12" customWidth="1"/>
  </cols>
  <sheetData>
    <row r="1" spans="1:11" x14ac:dyDescent="0.35">
      <c r="A1" s="6" t="s">
        <v>31</v>
      </c>
      <c r="B1" s="6" t="s">
        <v>460</v>
      </c>
      <c r="C1" s="6" t="s">
        <v>431</v>
      </c>
      <c r="D1" s="6" t="s">
        <v>432</v>
      </c>
      <c r="E1" s="6" t="s">
        <v>433</v>
      </c>
      <c r="F1" s="6" t="s">
        <v>434</v>
      </c>
      <c r="G1" s="6" t="s">
        <v>435</v>
      </c>
      <c r="H1" s="6" t="s">
        <v>461</v>
      </c>
      <c r="I1" s="6" t="s">
        <v>462</v>
      </c>
      <c r="J1" s="6" t="s">
        <v>454</v>
      </c>
      <c r="K1" s="6" t="s">
        <v>424</v>
      </c>
    </row>
    <row r="2" spans="1:11" x14ac:dyDescent="0.35">
      <c r="A2" s="1" t="s">
        <v>238</v>
      </c>
      <c r="B2" s="9" t="s">
        <v>463</v>
      </c>
      <c r="C2" s="9" t="s">
        <v>464</v>
      </c>
      <c r="D2" s="9" t="s">
        <v>441</v>
      </c>
      <c r="E2" s="9" t="s">
        <v>441</v>
      </c>
      <c r="F2" s="9" t="s">
        <v>442</v>
      </c>
      <c r="G2" s="9" t="s">
        <v>465</v>
      </c>
      <c r="H2" s="9" t="s">
        <v>466</v>
      </c>
      <c r="I2" s="9" t="s">
        <v>466</v>
      </c>
      <c r="J2" s="9" t="s">
        <v>467</v>
      </c>
      <c r="K2" s="9" t="s">
        <v>15</v>
      </c>
    </row>
    <row r="3" spans="1:11" x14ac:dyDescent="0.35">
      <c r="A3" s="1" t="s">
        <v>243</v>
      </c>
      <c r="B3" s="9" t="s">
        <v>361</v>
      </c>
      <c r="C3" s="9" t="s">
        <v>464</v>
      </c>
      <c r="D3" s="9" t="s">
        <v>441</v>
      </c>
      <c r="E3" s="9" t="s">
        <v>441</v>
      </c>
      <c r="F3" s="9" t="s">
        <v>442</v>
      </c>
      <c r="G3" s="9" t="s">
        <v>465</v>
      </c>
      <c r="H3" s="9" t="s">
        <v>361</v>
      </c>
      <c r="I3" s="9" t="s">
        <v>361</v>
      </c>
      <c r="J3" s="9" t="s">
        <v>467</v>
      </c>
      <c r="K3" s="9" t="s">
        <v>17</v>
      </c>
    </row>
    <row r="4" spans="1:11" x14ac:dyDescent="0.35">
      <c r="A4" s="1" t="s">
        <v>248</v>
      </c>
      <c r="B4" s="9" t="s">
        <v>463</v>
      </c>
      <c r="C4" s="9" t="s">
        <v>464</v>
      </c>
      <c r="D4" s="9" t="s">
        <v>441</v>
      </c>
      <c r="E4" s="9" t="s">
        <v>441</v>
      </c>
      <c r="F4" s="9" t="s">
        <v>442</v>
      </c>
      <c r="G4" s="9" t="s">
        <v>465</v>
      </c>
      <c r="H4" s="9" t="s">
        <v>466</v>
      </c>
      <c r="I4" s="9" t="s">
        <v>468</v>
      </c>
      <c r="J4" s="9" t="s">
        <v>467</v>
      </c>
      <c r="K4" s="9" t="s">
        <v>17</v>
      </c>
    </row>
    <row r="5" spans="1:11" x14ac:dyDescent="0.35">
      <c r="A5" s="1" t="s">
        <v>253</v>
      </c>
      <c r="B5" s="9" t="s">
        <v>463</v>
      </c>
      <c r="C5" s="9" t="s">
        <v>464</v>
      </c>
      <c r="D5" s="9" t="s">
        <v>441</v>
      </c>
      <c r="E5" s="9" t="s">
        <v>441</v>
      </c>
      <c r="F5" s="9" t="s">
        <v>442</v>
      </c>
      <c r="G5" s="9" t="s">
        <v>465</v>
      </c>
      <c r="H5" s="9" t="s">
        <v>466</v>
      </c>
      <c r="I5" s="9" t="s">
        <v>466</v>
      </c>
      <c r="J5" s="9" t="s">
        <v>458</v>
      </c>
      <c r="K5" s="9" t="s">
        <v>17</v>
      </c>
    </row>
    <row r="6" spans="1:11" x14ac:dyDescent="0.35">
      <c r="A6" s="1" t="s">
        <v>258</v>
      </c>
      <c r="B6" s="9" t="s">
        <v>463</v>
      </c>
      <c r="C6" s="9" t="s">
        <v>464</v>
      </c>
      <c r="D6" s="9" t="s">
        <v>441</v>
      </c>
      <c r="E6" s="9" t="s">
        <v>441</v>
      </c>
      <c r="F6" s="9" t="s">
        <v>442</v>
      </c>
      <c r="G6" s="9" t="s">
        <v>465</v>
      </c>
      <c r="H6" s="9" t="s">
        <v>466</v>
      </c>
      <c r="I6" s="9" t="s">
        <v>466</v>
      </c>
      <c r="J6" s="9" t="s">
        <v>469</v>
      </c>
      <c r="K6" s="9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B2" sqref="B2:G6"/>
    </sheetView>
  </sheetViews>
  <sheetFormatPr defaultRowHeight="14.5" x14ac:dyDescent="0.35"/>
  <cols>
    <col min="1" max="1" width="13" customWidth="1"/>
    <col min="2" max="7" width="12" customWidth="1"/>
  </cols>
  <sheetData>
    <row r="1" spans="1:7" x14ac:dyDescent="0.35">
      <c r="A1" s="6" t="s">
        <v>31</v>
      </c>
      <c r="B1" s="6" t="s">
        <v>461</v>
      </c>
      <c r="C1" s="6" t="s">
        <v>470</v>
      </c>
      <c r="D1" s="6" t="s">
        <v>471</v>
      </c>
      <c r="E1" s="6" t="s">
        <v>472</v>
      </c>
      <c r="F1" s="6" t="s">
        <v>454</v>
      </c>
      <c r="G1" s="6" t="s">
        <v>424</v>
      </c>
    </row>
    <row r="2" spans="1:7" x14ac:dyDescent="0.35">
      <c r="A2" s="1" t="s">
        <v>279</v>
      </c>
      <c r="B2" s="9" t="s">
        <v>451</v>
      </c>
      <c r="C2" s="9" t="s">
        <v>473</v>
      </c>
      <c r="D2" s="9" t="s">
        <v>361</v>
      </c>
      <c r="E2" s="9" t="s">
        <v>361</v>
      </c>
      <c r="F2" s="9" t="s">
        <v>361</v>
      </c>
      <c r="G2" s="9" t="s">
        <v>15</v>
      </c>
    </row>
    <row r="3" spans="1:7" x14ac:dyDescent="0.35">
      <c r="A3" s="1" t="s">
        <v>285</v>
      </c>
      <c r="B3" s="9" t="s">
        <v>451</v>
      </c>
      <c r="C3" s="9" t="s">
        <v>361</v>
      </c>
      <c r="D3" s="9" t="s">
        <v>473</v>
      </c>
      <c r="E3" s="9" t="s">
        <v>474</v>
      </c>
      <c r="F3" s="9" t="s">
        <v>361</v>
      </c>
      <c r="G3" s="9" t="s">
        <v>15</v>
      </c>
    </row>
    <row r="4" spans="1:7" x14ac:dyDescent="0.35">
      <c r="A4" s="1" t="s">
        <v>291</v>
      </c>
      <c r="B4" s="9" t="s">
        <v>451</v>
      </c>
      <c r="C4" s="9" t="s">
        <v>361</v>
      </c>
      <c r="D4" s="9" t="s">
        <v>361</v>
      </c>
      <c r="E4" s="9" t="s">
        <v>361</v>
      </c>
      <c r="F4" s="9" t="s">
        <v>456</v>
      </c>
      <c r="G4" s="9" t="s">
        <v>15</v>
      </c>
    </row>
    <row r="5" spans="1:7" x14ac:dyDescent="0.35">
      <c r="A5" s="1" t="s">
        <v>296</v>
      </c>
      <c r="B5" s="9" t="s">
        <v>451</v>
      </c>
      <c r="C5" s="9" t="s">
        <v>475</v>
      </c>
      <c r="D5" s="9" t="s">
        <v>361</v>
      </c>
      <c r="E5" s="9" t="s">
        <v>361</v>
      </c>
      <c r="F5" s="9" t="s">
        <v>361</v>
      </c>
      <c r="G5" s="9" t="s">
        <v>17</v>
      </c>
    </row>
    <row r="6" spans="1:7" x14ac:dyDescent="0.35">
      <c r="A6" s="1" t="s">
        <v>301</v>
      </c>
      <c r="B6" s="9" t="s">
        <v>451</v>
      </c>
      <c r="C6" s="9" t="s">
        <v>361</v>
      </c>
      <c r="D6" s="9" t="s">
        <v>474</v>
      </c>
      <c r="E6" s="9" t="s">
        <v>473</v>
      </c>
      <c r="F6" s="9" t="s">
        <v>361</v>
      </c>
      <c r="G6" s="9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selection activeCell="B27" sqref="B27"/>
    </sheetView>
  </sheetViews>
  <sheetFormatPr defaultRowHeight="14.5" x14ac:dyDescent="0.35"/>
  <cols>
    <col min="1" max="1" width="13" customWidth="1"/>
    <col min="2" max="2" width="15" customWidth="1"/>
    <col min="3" max="7" width="12" customWidth="1"/>
  </cols>
  <sheetData>
    <row r="1" spans="1:7" x14ac:dyDescent="0.35">
      <c r="A1" s="6" t="s">
        <v>31</v>
      </c>
      <c r="B1" s="6" t="s">
        <v>431</v>
      </c>
      <c r="C1" s="6" t="s">
        <v>432</v>
      </c>
      <c r="D1" s="6" t="s">
        <v>433</v>
      </c>
      <c r="E1" s="6" t="s">
        <v>434</v>
      </c>
      <c r="F1" s="6" t="s">
        <v>435</v>
      </c>
      <c r="G1" s="6" t="s">
        <v>424</v>
      </c>
    </row>
    <row r="2" spans="1:7" x14ac:dyDescent="0.35">
      <c r="A2" s="1" t="s">
        <v>317</v>
      </c>
      <c r="B2" s="9" t="s">
        <v>476</v>
      </c>
      <c r="C2" s="9" t="s">
        <v>441</v>
      </c>
      <c r="D2" s="9" t="s">
        <v>441</v>
      </c>
      <c r="E2" s="9" t="s">
        <v>442</v>
      </c>
      <c r="F2" s="9" t="s">
        <v>477</v>
      </c>
      <c r="G2" s="9" t="s">
        <v>15</v>
      </c>
    </row>
    <row r="3" spans="1:7" x14ac:dyDescent="0.35">
      <c r="A3" s="1" t="s">
        <v>322</v>
      </c>
      <c r="B3" s="9" t="s">
        <v>361</v>
      </c>
      <c r="C3" s="9" t="s">
        <v>441</v>
      </c>
      <c r="D3" s="9" t="s">
        <v>441</v>
      </c>
      <c r="E3" s="9" t="s">
        <v>442</v>
      </c>
      <c r="F3" s="9" t="s">
        <v>477</v>
      </c>
      <c r="G3" s="9" t="s">
        <v>17</v>
      </c>
    </row>
    <row r="4" spans="1:7" x14ac:dyDescent="0.35">
      <c r="A4" s="1" t="s">
        <v>328</v>
      </c>
      <c r="B4" s="9" t="s">
        <v>476</v>
      </c>
      <c r="C4" s="9" t="s">
        <v>441</v>
      </c>
      <c r="D4" s="9" t="s">
        <v>441</v>
      </c>
      <c r="E4" s="9" t="s">
        <v>442</v>
      </c>
      <c r="F4" s="9" t="s">
        <v>477</v>
      </c>
      <c r="G4" s="9" t="s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"/>
  <sheetViews>
    <sheetView workbookViewId="0">
      <selection activeCell="B2" sqref="B2:E4"/>
    </sheetView>
  </sheetViews>
  <sheetFormatPr defaultRowHeight="14.5" x14ac:dyDescent="0.35"/>
  <cols>
    <col min="1" max="1" width="13" customWidth="1"/>
    <col min="2" max="2" width="12" customWidth="1"/>
    <col min="3" max="4" width="13" customWidth="1"/>
    <col min="5" max="5" width="12" customWidth="1"/>
  </cols>
  <sheetData>
    <row r="1" spans="1:5" ht="29" x14ac:dyDescent="0.35">
      <c r="A1" s="6" t="s">
        <v>31</v>
      </c>
      <c r="B1" s="6" t="s">
        <v>478</v>
      </c>
      <c r="C1" s="6" t="s">
        <v>479</v>
      </c>
      <c r="D1" s="6" t="s">
        <v>449</v>
      </c>
      <c r="E1" s="6" t="s">
        <v>424</v>
      </c>
    </row>
    <row r="2" spans="1:5" x14ac:dyDescent="0.35">
      <c r="A2" s="1" t="s">
        <v>340</v>
      </c>
      <c r="B2" s="9" t="s">
        <v>480</v>
      </c>
      <c r="C2" s="9" t="s">
        <v>467</v>
      </c>
      <c r="D2" s="9" t="s">
        <v>451</v>
      </c>
      <c r="E2" s="9" t="s">
        <v>15</v>
      </c>
    </row>
    <row r="3" spans="1:5" x14ac:dyDescent="0.35">
      <c r="A3" s="1" t="s">
        <v>346</v>
      </c>
      <c r="B3" s="9" t="s">
        <v>361</v>
      </c>
      <c r="C3" s="9" t="s">
        <v>361</v>
      </c>
      <c r="D3" s="9" t="s">
        <v>451</v>
      </c>
      <c r="E3" s="9" t="s">
        <v>17</v>
      </c>
    </row>
    <row r="4" spans="1:5" x14ac:dyDescent="0.35">
      <c r="A4" s="1" t="s">
        <v>351</v>
      </c>
      <c r="B4" s="9" t="s">
        <v>481</v>
      </c>
      <c r="C4" s="9" t="s">
        <v>482</v>
      </c>
      <c r="D4" s="9" t="s">
        <v>451</v>
      </c>
      <c r="E4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Scenario</vt:lpstr>
      <vt:lpstr>TestCases</vt:lpstr>
      <vt:lpstr>TestExecution</vt:lpstr>
      <vt:lpstr>TestData_Login</vt:lpstr>
      <vt:lpstr>TestData_Register</vt:lpstr>
      <vt:lpstr>TestData_OpenAccount</vt:lpstr>
      <vt:lpstr>TestData_Transfer</vt:lpstr>
      <vt:lpstr>TestData_BillPay</vt:lpstr>
      <vt:lpstr>TestData_FindTransactions</vt:lpstr>
      <vt:lpstr>TestData_UpdateContact</vt:lpstr>
      <vt:lpstr>TestData_RequestLoan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VĂN VIỆT</cp:lastModifiedBy>
  <dcterms:modified xsi:type="dcterms:W3CDTF">2026-03-26T19:19:12Z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